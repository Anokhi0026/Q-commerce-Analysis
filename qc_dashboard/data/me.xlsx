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pivotTables/pivotTable10.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nokhi\Desktop\M.Sc. (MSU)\Sem - 4\Project\"/>
    </mc:Choice>
  </mc:AlternateContent>
  <xr:revisionPtr revIDLastSave="0" documentId="13_ncr:1_{0C793A18-46FE-4901-8E61-064517326CC9}" xr6:coauthVersionLast="47" xr6:coauthVersionMax="47" xr10:uidLastSave="{00000000-0000-0000-0000-000000000000}"/>
  <bookViews>
    <workbookView xWindow="-110" yWindow="-110" windowWidth="19420" windowHeight="11500" tabRatio="619" xr2:uid="{FFCE793E-720A-4719-9EE0-66E5B4D95C0D}"/>
  </bookViews>
  <sheets>
    <sheet name="raw" sheetId="1" r:id="rId1"/>
    <sheet name="most used app" sheetId="7" r:id="rId2"/>
    <sheet name="education+app" sheetId="22" r:id="rId3"/>
    <sheet name="work+app" sheetId="17" r:id="rId4"/>
    <sheet name="app+gender" sheetId="19" r:id="rId5"/>
    <sheet name="app+income" sheetId="18" r:id="rId6"/>
    <sheet name="age+app" sheetId="8" r:id="rId7"/>
    <sheet name="obj-2" sheetId="21" r:id="rId8"/>
    <sheet name="gender." sheetId="10" r:id="rId9"/>
    <sheet name="age" sheetId="12" r:id="rId10"/>
    <sheet name="Education" sheetId="13" r:id="rId11"/>
    <sheet name="occupation" sheetId="14" r:id="rId12"/>
    <sheet name="income" sheetId="15" r:id="rId13"/>
    <sheet name="dash1" sheetId="16" r:id="rId14"/>
    <sheet name="users" sheetId="3" state="hidden" r:id="rId15"/>
    <sheet name="non-users" sheetId="4" state="hidden" r:id="rId16"/>
  </sheets>
  <definedNames>
    <definedName name="Slicer_App_Used">#N/A</definedName>
    <definedName name="Slicer_Used_QC1">#N/A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R14" i="21"/>
  <c r="R15" i="21" s="1"/>
  <c r="V7" i="16"/>
  <c r="V8" i="16" s="1"/>
  <c r="A1" i="1"/>
  <c r="B115" i="4" a="1"/>
  <c r="B115" i="4" s="1"/>
  <c r="B114" i="4" a="1"/>
  <c r="B114" i="4" s="1"/>
  <c r="B113" i="4" a="1"/>
  <c r="B113" i="4" s="1"/>
  <c r="B112" i="4" a="1"/>
  <c r="B112" i="4" s="1"/>
  <c r="B111" i="4" a="1"/>
  <c r="B111" i="4" s="1"/>
  <c r="B110" i="4" a="1"/>
  <c r="B110" i="4" s="1"/>
  <c r="B109" i="4" a="1"/>
  <c r="B109" i="4" s="1"/>
  <c r="B108" i="4" a="1"/>
  <c r="B108" i="4" s="1"/>
  <c r="B107" i="4" a="1"/>
  <c r="B107" i="4" s="1"/>
  <c r="B106" i="4" a="1"/>
  <c r="B106" i="4" s="1"/>
  <c r="B105" i="4" a="1"/>
  <c r="B105" i="4" s="1"/>
  <c r="B104" i="4" a="1"/>
  <c r="B104" i="4" s="1"/>
  <c r="B103" i="4" a="1"/>
  <c r="B103" i="4" s="1"/>
  <c r="B102" i="4" a="1"/>
  <c r="B102" i="4" s="1"/>
  <c r="B101" i="4" a="1"/>
  <c r="B101" i="4" s="1"/>
  <c r="B100" i="4" a="1"/>
  <c r="B100" i="4" s="1"/>
  <c r="B99" i="4" a="1"/>
  <c r="B99" i="4" s="1"/>
  <c r="B98" i="4" a="1"/>
  <c r="B98" i="4" s="1"/>
  <c r="B97" i="4" a="1"/>
  <c r="B97" i="4" s="1"/>
  <c r="B96" i="4" a="1"/>
  <c r="B96" i="4" s="1"/>
  <c r="B95" i="4" a="1"/>
  <c r="B95" i="4" s="1"/>
  <c r="B94" i="4" a="1"/>
  <c r="B94" i="4" s="1"/>
  <c r="B93" i="4" a="1"/>
  <c r="B93" i="4" s="1"/>
  <c r="B92" i="4" a="1"/>
  <c r="B92" i="4" s="1"/>
  <c r="B91" i="4" a="1"/>
  <c r="B91" i="4" s="1"/>
  <c r="B90" i="4" a="1"/>
  <c r="B90" i="4" s="1"/>
  <c r="B89" i="4" a="1"/>
  <c r="B89" i="4" s="1"/>
  <c r="B88" i="4" a="1"/>
  <c r="B88" i="4" s="1"/>
  <c r="B87" i="4" a="1"/>
  <c r="B87" i="4" s="1"/>
  <c r="B86" i="4" a="1"/>
  <c r="B86" i="4" s="1"/>
  <c r="B85" i="4" a="1"/>
  <c r="B85" i="4" s="1"/>
  <c r="B84" i="4" a="1"/>
  <c r="B84" i="4" s="1"/>
  <c r="B83" i="4" a="1"/>
  <c r="B83" i="4" s="1"/>
  <c r="B82" i="4" a="1"/>
  <c r="B82" i="4" s="1"/>
  <c r="B81" i="4" a="1"/>
  <c r="B81" i="4" s="1"/>
  <c r="B80" i="4" a="1"/>
  <c r="B80" i="4" s="1"/>
  <c r="B79" i="4" a="1"/>
  <c r="B79" i="4" s="1"/>
  <c r="B78" i="4" a="1"/>
  <c r="B78" i="4" s="1"/>
  <c r="B77" i="4" a="1"/>
  <c r="B77" i="4" s="1"/>
  <c r="B76" i="4" a="1"/>
  <c r="B76" i="4" s="1"/>
  <c r="B75" i="4" a="1"/>
  <c r="B75" i="4" s="1"/>
  <c r="B74" i="4" a="1"/>
  <c r="B74" i="4" s="1"/>
  <c r="B73" i="4" a="1"/>
  <c r="B73" i="4" s="1"/>
  <c r="B72" i="4" a="1"/>
  <c r="B72" i="4" s="1"/>
  <c r="B71" i="4" a="1"/>
  <c r="B71" i="4" s="1"/>
  <c r="B70" i="4" a="1"/>
  <c r="B70" i="4" s="1"/>
  <c r="B69" i="4" a="1"/>
  <c r="B69" i="4" s="1"/>
  <c r="B68" i="4" a="1"/>
  <c r="B68" i="4" s="1"/>
  <c r="B67" i="4" a="1"/>
  <c r="B67" i="4" s="1"/>
  <c r="B66" i="4" a="1"/>
  <c r="B66" i="4" s="1"/>
  <c r="B65" i="4" a="1"/>
  <c r="B65" i="4" s="1"/>
  <c r="B64" i="4" a="1"/>
  <c r="B64" i="4" s="1"/>
  <c r="B63" i="4" a="1"/>
  <c r="B63" i="4" s="1"/>
  <c r="B62" i="4" a="1"/>
  <c r="B62" i="4" s="1"/>
  <c r="B61" i="4" a="1"/>
  <c r="B61" i="4" s="1"/>
  <c r="B60" i="4" a="1"/>
  <c r="B60" i="4" s="1"/>
  <c r="B59" i="4" a="1"/>
  <c r="B59" i="4" s="1"/>
  <c r="B58" i="4" a="1"/>
  <c r="B58" i="4" s="1"/>
  <c r="B57" i="4" a="1"/>
  <c r="B57" i="4" s="1"/>
  <c r="B56" i="4" a="1"/>
  <c r="B56" i="4" s="1"/>
  <c r="B55" i="4" a="1"/>
  <c r="B55" i="4" s="1"/>
  <c r="B54" i="4" a="1"/>
  <c r="B54" i="4" s="1"/>
  <c r="B53" i="4" a="1"/>
  <c r="B53" i="4" s="1"/>
  <c r="B52" i="4" a="1"/>
  <c r="B52" i="4" s="1"/>
  <c r="B51" i="4" a="1"/>
  <c r="B51" i="4" s="1"/>
  <c r="B50" i="4" a="1"/>
  <c r="B50" i="4" s="1"/>
  <c r="B49" i="4" a="1"/>
  <c r="B49" i="4" s="1"/>
  <c r="B48" i="4" a="1"/>
  <c r="B48" i="4" s="1"/>
  <c r="B47" i="4" a="1"/>
  <c r="B47" i="4" s="1"/>
  <c r="B46" i="4" a="1"/>
  <c r="B46" i="4" s="1"/>
  <c r="B45" i="4" a="1"/>
  <c r="B45" i="4" s="1"/>
  <c r="B44" i="4" a="1"/>
  <c r="B44" i="4" s="1"/>
  <c r="B43" i="4" a="1"/>
  <c r="B43" i="4" s="1"/>
  <c r="B42" i="4" a="1"/>
  <c r="B42" i="4" s="1"/>
  <c r="B41" i="4" a="1"/>
  <c r="B41" i="4" s="1"/>
  <c r="B40" i="4" a="1"/>
  <c r="B40" i="4" s="1"/>
  <c r="B39" i="4" a="1"/>
  <c r="B39" i="4" s="1"/>
  <c r="B38" i="4" a="1"/>
  <c r="B38" i="4" s="1"/>
  <c r="B37" i="4" a="1"/>
  <c r="B37" i="4" s="1"/>
  <c r="B36" i="4" a="1"/>
  <c r="B36" i="4" s="1"/>
  <c r="B35" i="4" a="1"/>
  <c r="B35" i="4" s="1"/>
  <c r="B34" i="4" a="1"/>
  <c r="B34" i="4" s="1"/>
  <c r="B33" i="4" a="1"/>
  <c r="B33" i="4" s="1"/>
  <c r="B32" i="4" a="1"/>
  <c r="B32" i="4" s="1"/>
  <c r="B31" i="4" a="1"/>
  <c r="B31" i="4" s="1"/>
  <c r="B30" i="4" a="1"/>
  <c r="B30" i="4" s="1"/>
  <c r="B29" i="4" a="1"/>
  <c r="B29" i="4" s="1"/>
  <c r="B28" i="4" a="1"/>
  <c r="B28" i="4" s="1"/>
  <c r="B27" i="4" a="1"/>
  <c r="B27" i="4" s="1"/>
  <c r="B26" i="4" a="1"/>
  <c r="B26" i="4" s="1"/>
  <c r="B25" i="4" a="1"/>
  <c r="B25" i="4" s="1"/>
  <c r="B24" i="4" a="1"/>
  <c r="B24" i="4" s="1"/>
  <c r="B23" i="4" a="1"/>
  <c r="B23" i="4" s="1"/>
  <c r="B22" i="4" a="1"/>
  <c r="B22" i="4" s="1"/>
  <c r="B21" i="4" a="1"/>
  <c r="B21" i="4" s="1"/>
  <c r="B20" i="4" a="1"/>
  <c r="B20" i="4" s="1"/>
  <c r="B19" i="4" a="1"/>
  <c r="B19" i="4" s="1"/>
  <c r="B18" i="4" a="1"/>
  <c r="B18" i="4" s="1"/>
  <c r="B17" i="4" a="1"/>
  <c r="B17" i="4" s="1"/>
  <c r="B16" i="4" a="1"/>
  <c r="B16" i="4" s="1"/>
  <c r="B15" i="4" a="1"/>
  <c r="B15" i="4" s="1"/>
  <c r="B14" i="4" a="1"/>
  <c r="B14" i="4" s="1"/>
  <c r="B13" i="4" a="1"/>
  <c r="B13" i="4" s="1"/>
  <c r="B12" i="4" a="1"/>
  <c r="B12" i="4" s="1"/>
  <c r="B11" i="4" a="1"/>
  <c r="B11" i="4" s="1"/>
  <c r="B10" i="4" a="1"/>
  <c r="B10" i="4" s="1"/>
  <c r="B9" i="4" a="1"/>
  <c r="B9" i="4" s="1"/>
  <c r="B8" i="4" a="1"/>
  <c r="B8" i="4" s="1"/>
  <c r="B7" i="4" a="1"/>
  <c r="B7" i="4" s="1"/>
  <c r="B6" i="4" a="1"/>
  <c r="B6" i="4" s="1"/>
  <c r="B5" i="4" a="1"/>
  <c r="B5" i="4" s="1"/>
  <c r="B4" i="4" a="1"/>
  <c r="B4" i="4" s="1"/>
  <c r="B3" i="4" a="1"/>
  <c r="B3" i="4" s="1"/>
  <c r="B230" i="3" a="1"/>
  <c r="B230" i="3" s="1"/>
  <c r="B229" i="3" a="1"/>
  <c r="B229" i="3" s="1"/>
  <c r="B228" i="3" a="1"/>
  <c r="B228" i="3" s="1"/>
  <c r="B227" i="3" a="1"/>
  <c r="B227" i="3" s="1"/>
  <c r="B226" i="3" a="1"/>
  <c r="B226" i="3" s="1"/>
  <c r="B225" i="3" a="1"/>
  <c r="B225" i="3" s="1"/>
  <c r="B224" i="3" a="1"/>
  <c r="B224" i="3" s="1"/>
  <c r="B223" i="3" a="1"/>
  <c r="B223" i="3" s="1"/>
  <c r="B222" i="3" a="1"/>
  <c r="B222" i="3" s="1"/>
  <c r="B221" i="3" a="1"/>
  <c r="B221" i="3" s="1"/>
  <c r="B220" i="3" a="1"/>
  <c r="B220" i="3" s="1"/>
  <c r="B219" i="3" a="1"/>
  <c r="B219" i="3" s="1"/>
  <c r="B218" i="3" a="1"/>
  <c r="B218" i="3" s="1"/>
  <c r="B217" i="3" a="1"/>
  <c r="B217" i="3" s="1"/>
  <c r="B216" i="3" a="1"/>
  <c r="B216" i="3" s="1"/>
  <c r="B215" i="3" a="1"/>
  <c r="B215" i="3" s="1"/>
  <c r="B214" i="3" a="1"/>
  <c r="B214" i="3" s="1"/>
  <c r="B213" i="3" a="1"/>
  <c r="B213" i="3" s="1"/>
  <c r="B212" i="3" a="1"/>
  <c r="B212" i="3" s="1"/>
  <c r="B211" i="3" a="1"/>
  <c r="B211" i="3" s="1"/>
  <c r="B210" i="3" a="1"/>
  <c r="B210" i="3" s="1"/>
  <c r="B209" i="3" a="1"/>
  <c r="B209" i="3" s="1"/>
  <c r="B208" i="3" a="1"/>
  <c r="B208" i="3" s="1"/>
  <c r="B207" i="3" a="1"/>
  <c r="B207" i="3" s="1"/>
  <c r="B206" i="3" a="1"/>
  <c r="B206" i="3" s="1"/>
  <c r="B205" i="3" a="1"/>
  <c r="B205" i="3" s="1"/>
  <c r="B204" i="3" a="1"/>
  <c r="B204" i="3" s="1"/>
  <c r="B203" i="3" a="1"/>
  <c r="B203" i="3" s="1"/>
  <c r="B202" i="3" a="1"/>
  <c r="B202" i="3" s="1"/>
  <c r="B201" i="3" a="1"/>
  <c r="B201" i="3" s="1"/>
  <c r="B200" i="3" a="1"/>
  <c r="B200" i="3" s="1"/>
  <c r="B199" i="3" a="1"/>
  <c r="B199" i="3" s="1"/>
  <c r="B198" i="3" a="1"/>
  <c r="B198" i="3" s="1"/>
  <c r="B197" i="3" a="1"/>
  <c r="B197" i="3" s="1"/>
  <c r="B196" i="3" a="1"/>
  <c r="B196" i="3" s="1"/>
  <c r="B195" i="3" a="1"/>
  <c r="B195" i="3" s="1"/>
  <c r="B194" i="3" a="1"/>
  <c r="B194" i="3" s="1"/>
  <c r="B193" i="3" a="1"/>
  <c r="B193" i="3" s="1"/>
  <c r="B192" i="3" a="1"/>
  <c r="B192" i="3" s="1"/>
  <c r="B191" i="3" a="1"/>
  <c r="B191" i="3" s="1"/>
  <c r="B190" i="3" a="1"/>
  <c r="B190" i="3" s="1"/>
  <c r="B189" i="3" a="1"/>
  <c r="B189" i="3" s="1"/>
  <c r="B188" i="3" a="1"/>
  <c r="B188" i="3" s="1"/>
  <c r="B187" i="3" a="1"/>
  <c r="B187" i="3" s="1"/>
  <c r="B186" i="3" a="1"/>
  <c r="B186" i="3" s="1"/>
  <c r="B185" i="3" a="1"/>
  <c r="B185" i="3" s="1"/>
  <c r="B184" i="3" a="1"/>
  <c r="B184" i="3" s="1"/>
  <c r="B183" i="3" a="1"/>
  <c r="B183" i="3" s="1"/>
  <c r="B182" i="3" a="1"/>
  <c r="B182" i="3" s="1"/>
  <c r="B181" i="3" a="1"/>
  <c r="B181" i="3" s="1"/>
  <c r="B180" i="3" a="1"/>
  <c r="B180" i="3" s="1"/>
  <c r="B179" i="3" a="1"/>
  <c r="B179" i="3" s="1"/>
  <c r="B178" i="3" a="1"/>
  <c r="B178" i="3" s="1"/>
  <c r="B177" i="3" a="1"/>
  <c r="B177" i="3" s="1"/>
  <c r="B176" i="3" a="1"/>
  <c r="B176" i="3" s="1"/>
  <c r="B175" i="3" a="1"/>
  <c r="B175" i="3" s="1"/>
  <c r="B174" i="3" a="1"/>
  <c r="B174" i="3" s="1"/>
  <c r="B173" i="3" a="1"/>
  <c r="B173" i="3" s="1"/>
  <c r="B172" i="3" a="1"/>
  <c r="B172" i="3" s="1"/>
  <c r="B171" i="3" a="1"/>
  <c r="B171" i="3" s="1"/>
  <c r="B170" i="3" a="1"/>
  <c r="B170" i="3" s="1"/>
  <c r="B169" i="3" a="1"/>
  <c r="B169" i="3" s="1"/>
  <c r="B168" i="3" a="1"/>
  <c r="B168" i="3" s="1"/>
  <c r="B167" i="3" a="1"/>
  <c r="B167" i="3" s="1"/>
  <c r="B166" i="3" a="1"/>
  <c r="B166" i="3" s="1"/>
  <c r="B165" i="3" a="1"/>
  <c r="B165" i="3" s="1"/>
  <c r="B164" i="3" a="1"/>
  <c r="B164" i="3" s="1"/>
  <c r="B163" i="3" a="1"/>
  <c r="B163" i="3" s="1"/>
  <c r="B162" i="3" a="1"/>
  <c r="B162" i="3" s="1"/>
  <c r="B161" i="3" a="1"/>
  <c r="B161" i="3" s="1"/>
  <c r="B160" i="3" a="1"/>
  <c r="B160" i="3" s="1"/>
  <c r="B159" i="3" a="1"/>
  <c r="B159" i="3" s="1"/>
  <c r="B158" i="3" a="1"/>
  <c r="B158" i="3" s="1"/>
  <c r="B157" i="3" a="1"/>
  <c r="B157" i="3" s="1"/>
  <c r="B156" i="3" a="1"/>
  <c r="B156" i="3" s="1"/>
  <c r="B155" i="3" a="1"/>
  <c r="B155" i="3" s="1"/>
  <c r="B154" i="3" a="1"/>
  <c r="B154" i="3" s="1"/>
  <c r="B153" i="3" a="1"/>
  <c r="B153" i="3" s="1"/>
  <c r="B152" i="3" a="1"/>
  <c r="B152" i="3" s="1"/>
  <c r="B151" i="3" a="1"/>
  <c r="B151" i="3" s="1"/>
  <c r="B150" i="3" a="1"/>
  <c r="B150" i="3" s="1"/>
  <c r="B149" i="3" a="1"/>
  <c r="B149" i="3" s="1"/>
  <c r="B148" i="3" a="1"/>
  <c r="B148" i="3" s="1"/>
  <c r="B147" i="3" a="1"/>
  <c r="B147" i="3" s="1"/>
  <c r="B146" i="3" a="1"/>
  <c r="B146" i="3" s="1"/>
  <c r="B145" i="3" a="1"/>
  <c r="B145" i="3" s="1"/>
  <c r="B144" i="3" a="1"/>
  <c r="B144" i="3" s="1"/>
  <c r="B143" i="3" a="1"/>
  <c r="B143" i="3" s="1"/>
  <c r="B142" i="3" a="1"/>
  <c r="B142" i="3" s="1"/>
  <c r="B141" i="3" a="1"/>
  <c r="B141" i="3" s="1"/>
  <c r="B140" i="3" a="1"/>
  <c r="B140" i="3" s="1"/>
  <c r="B139" i="3" a="1"/>
  <c r="B139" i="3" s="1"/>
  <c r="B138" i="3" a="1"/>
  <c r="B138" i="3" s="1"/>
  <c r="B137" i="3" a="1"/>
  <c r="B137" i="3" s="1"/>
  <c r="B136" i="3" a="1"/>
  <c r="B136" i="3" s="1"/>
  <c r="B135" i="3" a="1"/>
  <c r="B135" i="3" s="1"/>
  <c r="B134" i="3" a="1"/>
  <c r="B134" i="3" s="1"/>
  <c r="B133" i="3" a="1"/>
  <c r="B133" i="3" s="1"/>
  <c r="B132" i="3" a="1"/>
  <c r="B132" i="3" s="1"/>
  <c r="B131" i="3" a="1"/>
  <c r="B131" i="3" s="1"/>
  <c r="B130" i="3" a="1"/>
  <c r="B130" i="3" s="1"/>
  <c r="B129" i="3" a="1"/>
  <c r="B129" i="3" s="1"/>
  <c r="B128" i="3" a="1"/>
  <c r="B128" i="3" s="1"/>
  <c r="B127" i="3" a="1"/>
  <c r="B127" i="3" s="1"/>
  <c r="B126" i="3" a="1"/>
  <c r="B126" i="3" s="1"/>
  <c r="B125" i="3" a="1"/>
  <c r="B125" i="3" s="1"/>
  <c r="B124" i="3" a="1"/>
  <c r="B124" i="3" s="1"/>
  <c r="B123" i="3" a="1"/>
  <c r="B123" i="3" s="1"/>
  <c r="B122" i="3" a="1"/>
  <c r="B122" i="3" s="1"/>
  <c r="B121" i="3" a="1"/>
  <c r="B121" i="3" s="1"/>
  <c r="B120" i="3" a="1"/>
  <c r="B120" i="3" s="1"/>
  <c r="B119" i="3" a="1"/>
  <c r="B119" i="3" s="1"/>
  <c r="B118" i="3" a="1"/>
  <c r="B118" i="3" s="1"/>
  <c r="B117" i="3" a="1"/>
  <c r="B117" i="3" s="1"/>
  <c r="B116" i="3" a="1"/>
  <c r="B116" i="3" s="1"/>
  <c r="B115" i="3" a="1"/>
  <c r="B115" i="3" s="1"/>
  <c r="B114" i="3" a="1"/>
  <c r="B114" i="3" s="1"/>
  <c r="B113" i="3" a="1"/>
  <c r="B113" i="3" s="1"/>
  <c r="B112" i="3" a="1"/>
  <c r="B112" i="3" s="1"/>
  <c r="B111" i="3" a="1"/>
  <c r="B111" i="3" s="1"/>
  <c r="B110" i="3" a="1"/>
  <c r="B110" i="3" s="1"/>
  <c r="B109" i="3" a="1"/>
  <c r="B109" i="3" s="1"/>
  <c r="B108" i="3" a="1"/>
  <c r="B108" i="3" s="1"/>
  <c r="B107" i="3" a="1"/>
  <c r="B107" i="3" s="1"/>
  <c r="B106" i="3" a="1"/>
  <c r="B106" i="3" s="1"/>
  <c r="B105" i="3" a="1"/>
  <c r="B105" i="3" s="1"/>
  <c r="B104" i="3" a="1"/>
  <c r="B104" i="3" s="1"/>
  <c r="B103" i="3" a="1"/>
  <c r="B103" i="3" s="1"/>
  <c r="B102" i="3" a="1"/>
  <c r="B102" i="3" s="1"/>
  <c r="B101" i="3" a="1"/>
  <c r="B101" i="3" s="1"/>
  <c r="B100" i="3" a="1"/>
  <c r="B100" i="3" s="1"/>
  <c r="B99" i="3" a="1"/>
  <c r="B99" i="3" s="1"/>
  <c r="B98" i="3" a="1"/>
  <c r="B98" i="3" s="1"/>
  <c r="B97" i="3" a="1"/>
  <c r="B97" i="3" s="1"/>
  <c r="B96" i="3" a="1"/>
  <c r="B96" i="3" s="1"/>
  <c r="B95" i="3" a="1"/>
  <c r="B95" i="3" s="1"/>
  <c r="B94" i="3" a="1"/>
  <c r="B94" i="3" s="1"/>
  <c r="B93" i="3" a="1"/>
  <c r="B93" i="3" s="1"/>
  <c r="B92" i="3" a="1"/>
  <c r="B92" i="3" s="1"/>
  <c r="B91" i="3" a="1"/>
  <c r="B91" i="3" s="1"/>
  <c r="B90" i="3" a="1"/>
  <c r="B90" i="3" s="1"/>
  <c r="B89" i="3" a="1"/>
  <c r="B89" i="3" s="1"/>
  <c r="B88" i="3" a="1"/>
  <c r="B88" i="3" s="1"/>
  <c r="B87" i="3" a="1"/>
  <c r="B87" i="3" s="1"/>
  <c r="B86" i="3" a="1"/>
  <c r="B86" i="3" s="1"/>
  <c r="B85" i="3" a="1"/>
  <c r="B85" i="3" s="1"/>
  <c r="B84" i="3" a="1"/>
  <c r="B84" i="3" s="1"/>
  <c r="B83" i="3" a="1"/>
  <c r="B83" i="3" s="1"/>
  <c r="B82" i="3" a="1"/>
  <c r="B82" i="3" s="1"/>
  <c r="B81" i="3" a="1"/>
  <c r="B81" i="3" s="1"/>
  <c r="B80" i="3" a="1"/>
  <c r="B80" i="3" s="1"/>
  <c r="B79" i="3" a="1"/>
  <c r="B79" i="3" s="1"/>
  <c r="B78" i="3" a="1"/>
  <c r="B78" i="3" s="1"/>
  <c r="B77" i="3" a="1"/>
  <c r="B77" i="3" s="1"/>
  <c r="B76" i="3" a="1"/>
  <c r="B76" i="3" s="1"/>
  <c r="B75" i="3" a="1"/>
  <c r="B75" i="3" s="1"/>
  <c r="B74" i="3" a="1"/>
  <c r="B74" i="3" s="1"/>
  <c r="B73" i="3" a="1"/>
  <c r="B73" i="3" s="1"/>
  <c r="B72" i="3" a="1"/>
  <c r="B72" i="3" s="1"/>
  <c r="B71" i="3" a="1"/>
  <c r="B71" i="3" s="1"/>
  <c r="B70" i="3" a="1"/>
  <c r="B70" i="3" s="1"/>
  <c r="B69" i="3" a="1"/>
  <c r="B69" i="3" s="1"/>
  <c r="B68" i="3" a="1"/>
  <c r="B68" i="3" s="1"/>
  <c r="B67" i="3" a="1"/>
  <c r="B67" i="3" s="1"/>
  <c r="B66" i="3" a="1"/>
  <c r="B66" i="3" s="1"/>
  <c r="B65" i="3" a="1"/>
  <c r="B65" i="3" s="1"/>
  <c r="B64" i="3" a="1"/>
  <c r="B64" i="3" s="1"/>
  <c r="B63" i="3" a="1"/>
  <c r="B63" i="3" s="1"/>
  <c r="B62" i="3" a="1"/>
  <c r="B62" i="3" s="1"/>
  <c r="B61" i="3" a="1"/>
  <c r="B61" i="3" s="1"/>
  <c r="B60" i="3" a="1"/>
  <c r="B60" i="3" s="1"/>
  <c r="B59" i="3" a="1"/>
  <c r="B59" i="3" s="1"/>
  <c r="B58" i="3" a="1"/>
  <c r="B58" i="3" s="1"/>
  <c r="B57" i="3" a="1"/>
  <c r="B57" i="3" s="1"/>
  <c r="B56" i="3" a="1"/>
  <c r="B56" i="3" s="1"/>
  <c r="B55" i="3" a="1"/>
  <c r="B55" i="3" s="1"/>
  <c r="B54" i="3" a="1"/>
  <c r="B54" i="3" s="1"/>
  <c r="B53" i="3" a="1"/>
  <c r="B53" i="3" s="1"/>
  <c r="B52" i="3" a="1"/>
  <c r="B52" i="3" s="1"/>
  <c r="B51" i="3" a="1"/>
  <c r="B51" i="3" s="1"/>
  <c r="B50" i="3" a="1"/>
  <c r="B50" i="3" s="1"/>
  <c r="B49" i="3" a="1"/>
  <c r="B49" i="3" s="1"/>
  <c r="B48" i="3" a="1"/>
  <c r="B48" i="3" s="1"/>
  <c r="B47" i="3" a="1"/>
  <c r="B47" i="3" s="1"/>
  <c r="B46" i="3" a="1"/>
  <c r="B46" i="3" s="1"/>
  <c r="B45" i="3" a="1"/>
  <c r="B45" i="3" s="1"/>
  <c r="B44" i="3" a="1"/>
  <c r="B44" i="3" s="1"/>
  <c r="B43" i="3" a="1"/>
  <c r="B43" i="3" s="1"/>
  <c r="B42" i="3" a="1"/>
  <c r="B42" i="3" s="1"/>
  <c r="B41" i="3" a="1"/>
  <c r="B41" i="3" s="1"/>
  <c r="B40" i="3" a="1"/>
  <c r="B40" i="3" s="1"/>
  <c r="B39" i="3" a="1"/>
  <c r="B39" i="3" s="1"/>
  <c r="B38" i="3" a="1"/>
  <c r="B38" i="3" s="1"/>
  <c r="B37" i="3" a="1"/>
  <c r="B37" i="3" s="1"/>
  <c r="B36" i="3" a="1"/>
  <c r="B36" i="3" s="1"/>
  <c r="B35" i="3" a="1"/>
  <c r="B35" i="3" s="1"/>
  <c r="B34" i="3" a="1"/>
  <c r="B34" i="3" s="1"/>
  <c r="B33" i="3" a="1"/>
  <c r="B33" i="3" s="1"/>
  <c r="B32" i="3" a="1"/>
  <c r="B32" i="3" s="1"/>
  <c r="B31" i="3" a="1"/>
  <c r="B31" i="3" s="1"/>
  <c r="B30" i="3" a="1"/>
  <c r="B30" i="3" s="1"/>
  <c r="B29" i="3" a="1"/>
  <c r="B29" i="3" s="1"/>
  <c r="B28" i="3" a="1"/>
  <c r="B28" i="3" s="1"/>
  <c r="B27" i="3" a="1"/>
  <c r="B27" i="3" s="1"/>
  <c r="B26" i="3" a="1"/>
  <c r="B26" i="3" s="1"/>
  <c r="B25" i="3" a="1"/>
  <c r="B25" i="3" s="1"/>
  <c r="B24" i="3" a="1"/>
  <c r="B24" i="3" s="1"/>
  <c r="B23" i="3" a="1"/>
  <c r="B23" i="3" s="1"/>
  <c r="B22" i="3" a="1"/>
  <c r="B22" i="3" s="1"/>
  <c r="B21" i="3" a="1"/>
  <c r="B21" i="3" s="1"/>
  <c r="B20" i="3" a="1"/>
  <c r="B20" i="3" s="1"/>
  <c r="B19" i="3" a="1"/>
  <c r="B19" i="3" s="1"/>
  <c r="B18" i="3" a="1"/>
  <c r="B18" i="3" s="1"/>
  <c r="B17" i="3" a="1"/>
  <c r="B17" i="3" s="1"/>
  <c r="B16" i="3" a="1"/>
  <c r="B16" i="3" s="1"/>
  <c r="B15" i="3" a="1"/>
  <c r="B15" i="3" s="1"/>
  <c r="B14" i="3" a="1"/>
  <c r="B14" i="3" s="1"/>
  <c r="B13" i="3" a="1"/>
  <c r="B13" i="3" s="1"/>
  <c r="B12" i="3" a="1"/>
  <c r="B12" i="3" s="1"/>
  <c r="B11" i="3" a="1"/>
  <c r="B11" i="3" s="1"/>
  <c r="B10" i="3" a="1"/>
  <c r="B10" i="3" s="1"/>
  <c r="B9" i="3" a="1"/>
  <c r="B9" i="3" s="1"/>
  <c r="B8" i="3" a="1"/>
  <c r="B8" i="3" s="1"/>
  <c r="B7" i="3" a="1"/>
  <c r="B7" i="3" s="1"/>
  <c r="B6" i="3" a="1"/>
  <c r="B6" i="3" s="1"/>
  <c r="B5" i="3" a="1"/>
  <c r="B5" i="3" s="1"/>
  <c r="B4" i="3" a="1"/>
  <c r="B4" i="3" s="1"/>
  <c r="B3" i="3" a="1"/>
  <c r="B3" i="3" s="1"/>
  <c r="B343" i="1" a="1"/>
  <c r="B343" i="1" s="1"/>
  <c r="B342" i="1" a="1"/>
  <c r="B342" i="1" s="1"/>
  <c r="B341" i="1" a="1"/>
  <c r="B341" i="1" s="1"/>
  <c r="B340" i="1" a="1"/>
  <c r="B340" i="1" s="1"/>
  <c r="B339" i="1" a="1"/>
  <c r="B339" i="1" s="1"/>
  <c r="B338" i="1" a="1"/>
  <c r="B338" i="1" s="1"/>
  <c r="B337" i="1" a="1"/>
  <c r="B337" i="1" s="1"/>
  <c r="B336" i="1" a="1"/>
  <c r="B336" i="1" s="1"/>
  <c r="B335" i="1" a="1"/>
  <c r="B335" i="1" s="1"/>
  <c r="B334" i="1" a="1"/>
  <c r="B334" i="1" s="1"/>
  <c r="B333" i="1" a="1"/>
  <c r="B333" i="1" s="1"/>
  <c r="B332" i="1" a="1"/>
  <c r="B332" i="1" s="1"/>
  <c r="B331" i="1" a="1"/>
  <c r="B331" i="1" s="1"/>
  <c r="B330" i="1" a="1"/>
  <c r="B330" i="1" s="1"/>
  <c r="B329" i="1" a="1"/>
  <c r="B329" i="1" s="1"/>
  <c r="B328" i="1" a="1"/>
  <c r="B328" i="1" s="1"/>
  <c r="B327" i="1" a="1"/>
  <c r="B327" i="1" s="1"/>
  <c r="B326" i="1" a="1"/>
  <c r="B326" i="1" s="1"/>
  <c r="B325" i="1" a="1"/>
  <c r="B325" i="1" s="1"/>
  <c r="B324" i="1" a="1"/>
  <c r="B324" i="1" s="1"/>
  <c r="B323" i="1" a="1"/>
  <c r="B323" i="1" s="1"/>
  <c r="B322" i="1" a="1"/>
  <c r="B322" i="1" s="1"/>
  <c r="B321" i="1" a="1"/>
  <c r="B321" i="1" s="1"/>
  <c r="B320" i="1" a="1"/>
  <c r="B320" i="1" s="1"/>
  <c r="B319" i="1" a="1"/>
  <c r="B319" i="1" s="1"/>
  <c r="B318" i="1" a="1"/>
  <c r="B318" i="1" s="1"/>
  <c r="B317" i="1" a="1"/>
  <c r="B317" i="1" s="1"/>
  <c r="B316" i="1" a="1"/>
  <c r="B316" i="1" s="1"/>
  <c r="B315" i="1" a="1"/>
  <c r="B315" i="1" s="1"/>
  <c r="B314" i="1" a="1"/>
  <c r="B314" i="1" s="1"/>
  <c r="B313" i="1" a="1"/>
  <c r="B313" i="1" s="1"/>
  <c r="B312" i="1" a="1"/>
  <c r="B312" i="1" s="1"/>
  <c r="B311" i="1" a="1"/>
  <c r="B311" i="1" s="1"/>
  <c r="B310" i="1" a="1"/>
  <c r="B310" i="1" s="1"/>
  <c r="B309" i="1" a="1"/>
  <c r="B309" i="1" s="1"/>
  <c r="B308" i="1" a="1"/>
  <c r="B308" i="1" s="1"/>
  <c r="B307" i="1" a="1"/>
  <c r="B307" i="1" s="1"/>
  <c r="B306" i="1" a="1"/>
  <c r="B306" i="1" s="1"/>
  <c r="B305" i="1" a="1"/>
  <c r="B305" i="1" s="1"/>
  <c r="B304" i="1" a="1"/>
  <c r="B304" i="1" s="1"/>
  <c r="B303" i="1" a="1"/>
  <c r="B303" i="1" s="1"/>
  <c r="B302" i="1" a="1"/>
  <c r="B302" i="1" s="1"/>
  <c r="B301" i="1" a="1"/>
  <c r="B301" i="1" s="1"/>
  <c r="B300" i="1" a="1"/>
  <c r="B300" i="1" s="1"/>
  <c r="B299" i="1" a="1"/>
  <c r="B299" i="1" s="1"/>
  <c r="B298" i="1" a="1"/>
  <c r="B298" i="1" s="1"/>
  <c r="B297" i="1" a="1"/>
  <c r="B297" i="1" s="1"/>
  <c r="B296" i="1" a="1"/>
  <c r="B296" i="1" s="1"/>
  <c r="B295" i="1" a="1"/>
  <c r="B295" i="1" s="1"/>
  <c r="B294" i="1" a="1"/>
  <c r="B294" i="1" s="1"/>
  <c r="B293" i="1" a="1"/>
  <c r="B293" i="1" s="1"/>
  <c r="B292" i="1" a="1"/>
  <c r="B292" i="1" s="1"/>
  <c r="B291" i="1" a="1"/>
  <c r="B291" i="1" s="1"/>
  <c r="B290" i="1" a="1"/>
  <c r="B290" i="1" s="1"/>
  <c r="B289" i="1" a="1"/>
  <c r="B289" i="1" s="1"/>
  <c r="B288" i="1" a="1"/>
  <c r="B288" i="1" s="1"/>
  <c r="B287" i="1" a="1"/>
  <c r="B287" i="1" s="1"/>
  <c r="B286" i="1" a="1"/>
  <c r="B286" i="1" s="1"/>
  <c r="B285" i="1" a="1"/>
  <c r="B285" i="1" s="1"/>
  <c r="B284" i="1" a="1"/>
  <c r="B284" i="1" s="1"/>
  <c r="B283" i="1" a="1"/>
  <c r="B283" i="1" s="1"/>
  <c r="B282" i="1" a="1"/>
  <c r="B282" i="1" s="1"/>
  <c r="B281" i="1" a="1"/>
  <c r="B281" i="1" s="1"/>
  <c r="B280" i="1" a="1"/>
  <c r="B280" i="1" s="1"/>
  <c r="B279" i="1" a="1"/>
  <c r="B279" i="1" s="1"/>
  <c r="B278" i="1" a="1"/>
  <c r="B278" i="1" s="1"/>
  <c r="B277" i="1" a="1"/>
  <c r="B277" i="1" s="1"/>
  <c r="B276" i="1" a="1"/>
  <c r="B276" i="1" s="1"/>
  <c r="B275" i="1" a="1"/>
  <c r="B275" i="1" s="1"/>
  <c r="B274" i="1" a="1"/>
  <c r="B274" i="1" s="1"/>
  <c r="B273" i="1" a="1"/>
  <c r="B273" i="1" s="1"/>
  <c r="B272" i="1" a="1"/>
  <c r="B272" i="1" s="1"/>
  <c r="B271" i="1" a="1"/>
  <c r="B271" i="1" s="1"/>
  <c r="B270" i="1" a="1"/>
  <c r="B270" i="1" s="1"/>
  <c r="B269" i="1" a="1"/>
  <c r="B269" i="1" s="1"/>
  <c r="B268" i="1" a="1"/>
  <c r="B268" i="1" s="1"/>
  <c r="B267" i="1" a="1"/>
  <c r="B267" i="1" s="1"/>
  <c r="B266" i="1" a="1"/>
  <c r="B266" i="1" s="1"/>
  <c r="B265" i="1" a="1"/>
  <c r="B265" i="1" s="1"/>
  <c r="B264" i="1" a="1"/>
  <c r="B264" i="1" s="1"/>
  <c r="B263" i="1" a="1"/>
  <c r="B263" i="1" s="1"/>
  <c r="B262" i="1" a="1"/>
  <c r="B262" i="1" s="1"/>
  <c r="B261" i="1" a="1"/>
  <c r="B261" i="1" s="1"/>
  <c r="B260" i="1" a="1"/>
  <c r="B260" i="1" s="1"/>
  <c r="B259" i="1" a="1"/>
  <c r="B259" i="1" s="1"/>
  <c r="B258" i="1" a="1"/>
  <c r="B258" i="1" s="1"/>
  <c r="B257" i="1" a="1"/>
  <c r="B257" i="1" s="1"/>
  <c r="B256" i="1" a="1"/>
  <c r="B256" i="1" s="1"/>
  <c r="B255" i="1" a="1"/>
  <c r="B255" i="1" s="1"/>
  <c r="B254" i="1" a="1"/>
  <c r="B254" i="1" s="1"/>
  <c r="B253" i="1" a="1"/>
  <c r="B253" i="1" s="1"/>
  <c r="B252" i="1" a="1"/>
  <c r="B252" i="1" s="1"/>
  <c r="B251" i="1" a="1"/>
  <c r="B251" i="1" s="1"/>
  <c r="B250" i="1" a="1"/>
  <c r="B250" i="1" s="1"/>
  <c r="B249" i="1" a="1"/>
  <c r="B249" i="1" s="1"/>
  <c r="B248" i="1" a="1"/>
  <c r="B248" i="1" s="1"/>
  <c r="B247" i="1" a="1"/>
  <c r="B247" i="1" s="1"/>
  <c r="B246" i="1" a="1"/>
  <c r="B246" i="1" s="1"/>
  <c r="B245" i="1" a="1"/>
  <c r="B245" i="1" s="1"/>
  <c r="B244" i="1" a="1"/>
  <c r="B244" i="1" s="1"/>
  <c r="B243" i="1" a="1"/>
  <c r="B243" i="1" s="1"/>
  <c r="B242" i="1" a="1"/>
  <c r="B242" i="1" s="1"/>
  <c r="B241" i="1" a="1"/>
  <c r="B241" i="1" s="1"/>
  <c r="B240" i="1" a="1"/>
  <c r="B240" i="1" s="1"/>
  <c r="B239" i="1" a="1"/>
  <c r="B239" i="1" s="1"/>
  <c r="B238" i="1" a="1"/>
  <c r="B238" i="1" s="1"/>
  <c r="B237" i="1" a="1"/>
  <c r="B237" i="1" s="1"/>
  <c r="B236" i="1" a="1"/>
  <c r="B236" i="1" s="1"/>
  <c r="B235" i="1" a="1"/>
  <c r="B235" i="1" s="1"/>
  <c r="B234" i="1" a="1"/>
  <c r="B234" i="1" s="1"/>
  <c r="B233" i="1" a="1"/>
  <c r="B233" i="1" s="1"/>
  <c r="B232" i="1" a="1"/>
  <c r="B232" i="1" s="1"/>
  <c r="B231" i="1" a="1"/>
  <c r="B231" i="1" s="1"/>
  <c r="B230" i="1" a="1"/>
  <c r="B230" i="1" s="1"/>
  <c r="B229" i="1" a="1"/>
  <c r="B229" i="1" s="1"/>
  <c r="B228" i="1" a="1"/>
  <c r="B228" i="1" s="1"/>
  <c r="B227" i="1" a="1"/>
  <c r="B227" i="1" s="1"/>
  <c r="B226" i="1" a="1"/>
  <c r="B226" i="1" s="1"/>
  <c r="B225" i="1" a="1"/>
  <c r="B225" i="1" s="1"/>
  <c r="B224" i="1" a="1"/>
  <c r="B224" i="1" s="1"/>
  <c r="B223" i="1" a="1"/>
  <c r="B223" i="1" s="1"/>
  <c r="B222" i="1" a="1"/>
  <c r="B222" i="1" s="1"/>
  <c r="B221" i="1" a="1"/>
  <c r="B221" i="1" s="1"/>
  <c r="B220" i="1" a="1"/>
  <c r="B220" i="1" s="1"/>
  <c r="B219" i="1" a="1"/>
  <c r="B219" i="1" s="1"/>
  <c r="B218" i="1" a="1"/>
  <c r="B218" i="1" s="1"/>
  <c r="B217" i="1" a="1"/>
  <c r="B217" i="1" s="1"/>
  <c r="B216" i="1" a="1"/>
  <c r="B216" i="1" s="1"/>
  <c r="B215" i="1" a="1"/>
  <c r="B215" i="1" s="1"/>
  <c r="B214" i="1" a="1"/>
  <c r="B214" i="1" s="1"/>
  <c r="B213" i="1" a="1"/>
  <c r="B213" i="1" s="1"/>
  <c r="B212" i="1" a="1"/>
  <c r="B212" i="1" s="1"/>
  <c r="B211" i="1" a="1"/>
  <c r="B211" i="1" s="1"/>
  <c r="B210" i="1" a="1"/>
  <c r="B210" i="1" s="1"/>
  <c r="B209" i="1" a="1"/>
  <c r="B209" i="1" s="1"/>
  <c r="B208" i="1" a="1"/>
  <c r="B208" i="1" s="1"/>
  <c r="B207" i="1" a="1"/>
  <c r="B207" i="1" s="1"/>
  <c r="B206" i="1" a="1"/>
  <c r="B206" i="1" s="1"/>
  <c r="B205" i="1" a="1"/>
  <c r="B205" i="1" s="1"/>
  <c r="B204" i="1" a="1"/>
  <c r="B204" i="1" s="1"/>
  <c r="B203" i="1" a="1"/>
  <c r="B203" i="1" s="1"/>
  <c r="B202" i="1" a="1"/>
  <c r="B202" i="1" s="1"/>
  <c r="B201" i="1" a="1"/>
  <c r="B201" i="1" s="1"/>
  <c r="B200" i="1" a="1"/>
  <c r="B200" i="1" s="1"/>
  <c r="B199" i="1" a="1"/>
  <c r="B199" i="1" s="1"/>
  <c r="B198" i="1" a="1"/>
  <c r="B198" i="1" s="1"/>
  <c r="B197" i="1" a="1"/>
  <c r="B197" i="1" s="1"/>
  <c r="B196" i="1" a="1"/>
  <c r="B196" i="1" s="1"/>
  <c r="B195" i="1" a="1"/>
  <c r="B195" i="1" s="1"/>
  <c r="B194" i="1" a="1"/>
  <c r="B194" i="1" s="1"/>
  <c r="B193" i="1" a="1"/>
  <c r="B193" i="1" s="1"/>
  <c r="B192" i="1" a="1"/>
  <c r="B192" i="1" s="1"/>
  <c r="B191" i="1" a="1"/>
  <c r="B191" i="1" s="1"/>
  <c r="B190" i="1" a="1"/>
  <c r="B190" i="1" s="1"/>
  <c r="B189" i="1" a="1"/>
  <c r="B189" i="1" s="1"/>
  <c r="B188" i="1" a="1"/>
  <c r="B188" i="1" s="1"/>
  <c r="B187" i="1" a="1"/>
  <c r="B187" i="1" s="1"/>
  <c r="B186" i="1" a="1"/>
  <c r="B186" i="1" s="1"/>
  <c r="B185" i="1" a="1"/>
  <c r="B185" i="1" s="1"/>
  <c r="B184" i="1" a="1"/>
  <c r="B184" i="1" s="1"/>
  <c r="B183" i="1" a="1"/>
  <c r="B183" i="1" s="1"/>
  <c r="B182" i="1" a="1"/>
  <c r="B182" i="1" s="1"/>
  <c r="B181" i="1" a="1"/>
  <c r="B181" i="1" s="1"/>
  <c r="B180" i="1" a="1"/>
  <c r="B180" i="1" s="1"/>
  <c r="B179" i="1" a="1"/>
  <c r="B179" i="1" s="1"/>
  <c r="B178" i="1" a="1"/>
  <c r="B178" i="1" s="1"/>
  <c r="B177" i="1" a="1"/>
  <c r="B177" i="1" s="1"/>
  <c r="B176" i="1" a="1"/>
  <c r="B176" i="1" s="1"/>
  <c r="B175" i="1" a="1"/>
  <c r="B175" i="1" s="1"/>
  <c r="B174" i="1" a="1"/>
  <c r="B174" i="1" s="1"/>
  <c r="B173" i="1" a="1"/>
  <c r="B173" i="1" s="1"/>
  <c r="B172" i="1" a="1"/>
  <c r="B172" i="1" s="1"/>
  <c r="B171" i="1" a="1"/>
  <c r="B171" i="1" s="1"/>
  <c r="B170" i="1" a="1"/>
  <c r="B170" i="1" s="1"/>
  <c r="B169" i="1" a="1"/>
  <c r="B169" i="1" s="1"/>
  <c r="B168" i="1" a="1"/>
  <c r="B168" i="1" s="1"/>
  <c r="B167" i="1" a="1"/>
  <c r="B167" i="1" s="1"/>
  <c r="B166" i="1" a="1"/>
  <c r="B166" i="1" s="1"/>
  <c r="B165" i="1" a="1"/>
  <c r="B165" i="1" s="1"/>
  <c r="B164" i="1" a="1"/>
  <c r="B164" i="1" s="1"/>
  <c r="B163" i="1" a="1"/>
  <c r="B163" i="1" s="1"/>
  <c r="B162" i="1" a="1"/>
  <c r="B162" i="1" s="1"/>
  <c r="B161" i="1" a="1"/>
  <c r="B161" i="1" s="1"/>
  <c r="B160" i="1" a="1"/>
  <c r="B160" i="1" s="1"/>
  <c r="B159" i="1" a="1"/>
  <c r="B159" i="1" s="1"/>
  <c r="B158" i="1" a="1"/>
  <c r="B158" i="1" s="1"/>
  <c r="B157" i="1" a="1"/>
  <c r="B157" i="1" s="1"/>
  <c r="B156" i="1" a="1"/>
  <c r="B156" i="1" s="1"/>
  <c r="B155" i="1" a="1"/>
  <c r="B155" i="1" s="1"/>
  <c r="B154" i="1" a="1"/>
  <c r="B154" i="1" s="1"/>
  <c r="B153" i="1" a="1"/>
  <c r="B153" i="1" s="1"/>
  <c r="B152" i="1" a="1"/>
  <c r="B152" i="1" s="1"/>
  <c r="B151" i="1" a="1"/>
  <c r="B151" i="1" s="1"/>
  <c r="B150" i="1" a="1"/>
  <c r="B150" i="1" s="1"/>
  <c r="B149" i="1" a="1"/>
  <c r="B149" i="1" s="1"/>
  <c r="B148" i="1" a="1"/>
  <c r="B148" i="1" s="1"/>
  <c r="B147" i="1" a="1"/>
  <c r="B147" i="1" s="1"/>
  <c r="B146" i="1" a="1"/>
  <c r="B146" i="1" s="1"/>
  <c r="B145" i="1" a="1"/>
  <c r="B145" i="1" s="1"/>
  <c r="B144" i="1" a="1"/>
  <c r="B144" i="1" s="1"/>
  <c r="B143" i="1" a="1"/>
  <c r="B143" i="1" s="1"/>
  <c r="B142" i="1" a="1"/>
  <c r="B142" i="1" s="1"/>
  <c r="B141" i="1" a="1"/>
  <c r="B141" i="1" s="1"/>
  <c r="B140" i="1" a="1"/>
  <c r="B140" i="1" s="1"/>
  <c r="B139" i="1" a="1"/>
  <c r="B139" i="1" s="1"/>
  <c r="B138" i="1" a="1"/>
  <c r="B138" i="1" s="1"/>
  <c r="B137" i="1" a="1"/>
  <c r="B137" i="1" s="1"/>
  <c r="B136" i="1" a="1"/>
  <c r="B136" i="1" s="1"/>
  <c r="B135" i="1" a="1"/>
  <c r="B135" i="1" s="1"/>
  <c r="B134" i="1" a="1"/>
  <c r="B134" i="1" s="1"/>
  <c r="B133" i="1" a="1"/>
  <c r="B133" i="1" s="1"/>
  <c r="B132" i="1" a="1"/>
  <c r="B132" i="1" s="1"/>
  <c r="B131" i="1" a="1"/>
  <c r="B131" i="1" s="1"/>
  <c r="B130" i="1" a="1"/>
  <c r="B130" i="1" s="1"/>
  <c r="B129" i="1" a="1"/>
  <c r="B129" i="1" s="1"/>
  <c r="B128" i="1" a="1"/>
  <c r="B128" i="1" s="1"/>
  <c r="B127" i="1" a="1"/>
  <c r="B127" i="1" s="1"/>
  <c r="B126" i="1" a="1"/>
  <c r="B126" i="1" s="1"/>
  <c r="B125" i="1" a="1"/>
  <c r="B125" i="1" s="1"/>
  <c r="B124" i="1" a="1"/>
  <c r="B124" i="1" s="1"/>
  <c r="B123" i="1" a="1"/>
  <c r="B123" i="1" s="1"/>
  <c r="B122" i="1" a="1"/>
  <c r="B122" i="1" s="1"/>
  <c r="B121" i="1" a="1"/>
  <c r="B121" i="1" s="1"/>
  <c r="B120" i="1" a="1"/>
  <c r="B120" i="1" s="1"/>
  <c r="B119" i="1" a="1"/>
  <c r="B119" i="1" s="1"/>
  <c r="B118" i="1" a="1"/>
  <c r="B118" i="1" s="1"/>
  <c r="B117" i="1" a="1"/>
  <c r="B117" i="1" s="1"/>
  <c r="B116" i="1" a="1"/>
  <c r="B116" i="1" s="1"/>
  <c r="B115" i="1" a="1"/>
  <c r="B115" i="1" s="1"/>
  <c r="B114" i="1" a="1"/>
  <c r="B114" i="1" s="1"/>
  <c r="B113" i="1" a="1"/>
  <c r="B113" i="1" s="1"/>
  <c r="B112" i="1" a="1"/>
  <c r="B112" i="1" s="1"/>
  <c r="B111" i="1" a="1"/>
  <c r="B111" i="1" s="1"/>
  <c r="B110" i="1" a="1"/>
  <c r="B110" i="1" s="1"/>
  <c r="B109" i="1" a="1"/>
  <c r="B109" i="1" s="1"/>
  <c r="B108" i="1" a="1"/>
  <c r="B108" i="1" s="1"/>
  <c r="B107" i="1" a="1"/>
  <c r="B107" i="1" s="1"/>
  <c r="B106" i="1" a="1"/>
  <c r="B106" i="1" s="1"/>
  <c r="B105" i="1" a="1"/>
  <c r="B105" i="1" s="1"/>
  <c r="B104" i="1" a="1"/>
  <c r="B104" i="1" s="1"/>
  <c r="B103" i="1" a="1"/>
  <c r="B103" i="1" s="1"/>
  <c r="B102" i="1" a="1"/>
  <c r="B102" i="1" s="1"/>
  <c r="B101" i="1" a="1"/>
  <c r="B101" i="1" s="1"/>
  <c r="B100" i="1" a="1"/>
  <c r="B100" i="1" s="1"/>
  <c r="B99" i="1" a="1"/>
  <c r="B99" i="1" s="1"/>
  <c r="B98" i="1" a="1"/>
  <c r="B98" i="1" s="1"/>
  <c r="B97" i="1" a="1"/>
  <c r="B97" i="1" s="1"/>
  <c r="B96" i="1" a="1"/>
  <c r="B96" i="1" s="1"/>
  <c r="B95" i="1" a="1"/>
  <c r="B95" i="1" s="1"/>
  <c r="B94" i="1" a="1"/>
  <c r="B94" i="1" s="1"/>
  <c r="B93" i="1" a="1"/>
  <c r="B93" i="1" s="1"/>
  <c r="B92" i="1" a="1"/>
  <c r="B92" i="1" s="1"/>
  <c r="B91" i="1" a="1"/>
  <c r="B91" i="1" s="1"/>
  <c r="B90" i="1" a="1"/>
  <c r="B90" i="1" s="1"/>
  <c r="B89" i="1" a="1"/>
  <c r="B89" i="1" s="1"/>
  <c r="B88" i="1" a="1"/>
  <c r="B88" i="1" s="1"/>
  <c r="B87" i="1" a="1"/>
  <c r="B87" i="1" s="1"/>
  <c r="B86" i="1" a="1"/>
  <c r="B86" i="1" s="1"/>
  <c r="B85" i="1" a="1"/>
  <c r="B85" i="1" s="1"/>
  <c r="B84" i="1" a="1"/>
  <c r="B84" i="1" s="1"/>
  <c r="B83" i="1" a="1"/>
  <c r="B83" i="1" s="1"/>
  <c r="B82" i="1" a="1"/>
  <c r="B82" i="1" s="1"/>
  <c r="B81" i="1" a="1"/>
  <c r="B81" i="1" s="1"/>
  <c r="B80" i="1" a="1"/>
  <c r="B80" i="1" s="1"/>
  <c r="B79" i="1" a="1"/>
  <c r="B79" i="1" s="1"/>
  <c r="B78" i="1" a="1"/>
  <c r="B78" i="1" s="1"/>
  <c r="B77" i="1" a="1"/>
  <c r="B77"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6" i="1" a="1"/>
  <c r="B56" i="1" s="1"/>
  <c r="B55" i="1" a="1"/>
  <c r="B55" i="1" s="1"/>
  <c r="B54" i="1" a="1"/>
  <c r="B54" i="1" s="1"/>
  <c r="B53" i="1" a="1"/>
  <c r="B53" i="1" s="1"/>
  <c r="B52" i="1" a="1"/>
  <c r="B52" i="1" s="1"/>
  <c r="B51" i="1" a="1"/>
  <c r="B51" i="1" s="1"/>
  <c r="B50" i="1" a="1"/>
  <c r="B50" i="1" s="1"/>
  <c r="B49" i="1" a="1"/>
  <c r="B49" i="1" s="1"/>
  <c r="B48" i="1" a="1"/>
  <c r="B48" i="1" s="1"/>
  <c r="B47" i="1" a="1"/>
  <c r="B47" i="1" s="1"/>
  <c r="B46" i="1" a="1"/>
  <c r="B46" i="1" s="1"/>
  <c r="B45" i="1" a="1"/>
  <c r="B45" i="1" s="1"/>
  <c r="B44" i="1" a="1"/>
  <c r="B44" i="1" s="1"/>
  <c r="B43" i="1" a="1"/>
  <c r="B43" i="1" s="1"/>
  <c r="B42" i="1" a="1"/>
  <c r="B42" i="1" s="1"/>
  <c r="B41" i="1" a="1"/>
  <c r="B41" i="1" s="1"/>
  <c r="B40" i="1" a="1"/>
  <c r="B40" i="1" s="1"/>
  <c r="B39" i="1" a="1"/>
  <c r="B39" i="1" s="1"/>
  <c r="B38" i="1" a="1"/>
  <c r="B38" i="1" s="1"/>
  <c r="B37" i="1" a="1"/>
  <c r="B37" i="1" s="1"/>
  <c r="B36" i="1" a="1"/>
  <c r="B36" i="1" s="1"/>
  <c r="B35" i="1" a="1"/>
  <c r="B35" i="1" s="1"/>
  <c r="B34" i="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B4" i="1" a="1"/>
  <c r="B4" i="1" s="1"/>
  <c r="B3" i="1" a="1"/>
  <c r="B3" i="1" s="1"/>
  <c r="C16" i="16"/>
  <c r="B1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<sst xmlns="http://schemas.openxmlformats.org/spreadsheetml/2006/main" count="16577" uniqueCount="189">
  <si>
    <t>Which Q-Commerce Apps have you heard of?</t>
  </si>
  <si>
    <t>most frequently ordered items</t>
  </si>
  <si>
    <t>Why don't you use Q-Commerce apps?</t>
  </si>
  <si>
    <t>Age</t>
  </si>
  <si>
    <t>Age_Group</t>
  </si>
  <si>
    <t>Gender</t>
  </si>
  <si>
    <t>Education</t>
  </si>
  <si>
    <t>Occupation</t>
  </si>
  <si>
    <t>Income</t>
  </si>
  <si>
    <t>Aware_QC</t>
  </si>
  <si>
    <t>Used_QC</t>
  </si>
  <si>
    <t>Adoption_Status</t>
  </si>
  <si>
    <t>Column1</t>
  </si>
  <si>
    <t>Column2</t>
  </si>
  <si>
    <t>Column3</t>
  </si>
  <si>
    <t>Column4</t>
  </si>
  <si>
    <t>Column5</t>
  </si>
  <si>
    <t>Column6</t>
  </si>
  <si>
    <t>App_Used</t>
  </si>
  <si>
    <t>How long have you been using Q-Commerce apps?</t>
  </si>
  <si>
    <t>average order value</t>
  </si>
  <si>
    <t>preferred delivery time</t>
  </si>
  <si>
    <t>preferred payment method?</t>
  </si>
  <si>
    <t>Col1</t>
  </si>
  <si>
    <t>Col2</t>
  </si>
  <si>
    <t>Col3</t>
  </si>
  <si>
    <t>Col4</t>
  </si>
  <si>
    <t>Col5</t>
  </si>
  <si>
    <t>Q-commerce apps save my time</t>
  </si>
  <si>
    <t>Delivery speed is very convenient</t>
  </si>
  <si>
    <t>Discounts influence my usage</t>
  </si>
  <si>
    <t>Product variety meets my needs</t>
  </si>
  <si>
    <t>Promotional offers attract me</t>
  </si>
  <si>
    <t>Apps are easy to navigate</t>
  </si>
  <si>
    <t>Urgent needs motivate me to use these apps</t>
  </si>
  <si>
    <t>Product quality is reliable</t>
  </si>
  <si>
    <t>My work/study schedule makes offline shopping difficult</t>
  </si>
  <si>
    <t>Q-commerce fits my lifestyle</t>
  </si>
  <si>
    <t>Overall satisfaction with Q-Commerce Apps</t>
  </si>
  <si>
    <t>Likelihood of continuing usage in the future</t>
  </si>
  <si>
    <t>likely are you to recommend these apps to Others</t>
  </si>
  <si>
    <t>biggest reason you prefer Q-commerce apps</t>
  </si>
  <si>
    <t>1</t>
  </si>
  <si>
    <t>2</t>
  </si>
  <si>
    <t>3</t>
  </si>
  <si>
    <t>4</t>
  </si>
  <si>
    <t>5</t>
  </si>
  <si>
    <t>6</t>
  </si>
  <si>
    <t>7</t>
  </si>
  <si>
    <t>8</t>
  </si>
  <si>
    <t>9</t>
  </si>
  <si>
    <t>10</t>
  </si>
  <si>
    <t>Do you find Q-Commerce apps reliable?</t>
  </si>
  <si>
    <t>Are you willing to try Q-Commerce apps in the future?</t>
  </si>
  <si>
    <t>Does anyone in your family use Q-Commerce Apps?</t>
  </si>
  <si>
    <t>I would consider using Q-commerce if delivery charges were lower</t>
  </si>
  <si>
    <t>I would consider using Q-commerce apps if product quality were guaranteed</t>
  </si>
  <si>
    <t>I would consider using Q-commerce apps if adequate guidance on app usage were provided</t>
  </si>
  <si>
    <t>I would consider using Q-commerce apps if prices were competitive</t>
  </si>
  <si>
    <t>I would consider using Q-commerce apps if delivery services were available in my area</t>
  </si>
  <si>
    <t>I would consider using Q-commerce apps if attractive discounts were offered</t>
  </si>
  <si>
    <t>I would consider using Q-commerce apps if I felt confident about trust, data security, and privacy.</t>
  </si>
  <si>
    <t>Male</t>
  </si>
  <si>
    <t>Undergraduate</t>
  </si>
  <si>
    <t>Student</t>
  </si>
  <si>
    <t>Above ₹1,00,000</t>
  </si>
  <si>
    <t>Yes</t>
  </si>
  <si>
    <t>Blinkit</t>
  </si>
  <si>
    <t xml:space="preserve"> Zepto</t>
  </si>
  <si>
    <t xml:space="preserve"> Swiggy Instamart</t>
  </si>
  <si>
    <t>More than a year</t>
  </si>
  <si>
    <t>₹400 - ₹600</t>
  </si>
  <si>
    <t>Evening</t>
  </si>
  <si>
    <t>UPI</t>
  </si>
  <si>
    <t>Groceries</t>
  </si>
  <si>
    <t xml:space="preserve"> Snacks and Beverages</t>
  </si>
  <si>
    <t xml:space="preserve"> Daily Essentials</t>
  </si>
  <si>
    <t xml:space="preserve"> Personal Care</t>
  </si>
  <si>
    <t>Strongly Agree</t>
  </si>
  <si>
    <t>Disagree</t>
  </si>
  <si>
    <t>Agree</t>
  </si>
  <si>
    <t>Neutral</t>
  </si>
  <si>
    <t>Convenience</t>
  </si>
  <si>
    <t>Delivery charges are high</t>
  </si>
  <si>
    <t xml:space="preserve"> Product quality concerns</t>
  </si>
  <si>
    <t xml:space="preserve"> No need for fast delivery</t>
  </si>
  <si>
    <t>Working professional</t>
  </si>
  <si>
    <t>₹40,000 - ₹60,000</t>
  </si>
  <si>
    <t>No</t>
  </si>
  <si>
    <t>Female</t>
  </si>
  <si>
    <t>₹20,000 - ₹40,000</t>
  </si>
  <si>
    <t>Swiggy Instamart</t>
  </si>
  <si>
    <t>₹200 - ₹400</t>
  </si>
  <si>
    <t>Zepto</t>
  </si>
  <si>
    <t>Below ₹200</t>
  </si>
  <si>
    <t>Night</t>
  </si>
  <si>
    <t>Snacks and Beverages</t>
  </si>
  <si>
    <t>Affordable Pricing</t>
  </si>
  <si>
    <t>6-12 months</t>
  </si>
  <si>
    <t>Cash on Delivery</t>
  </si>
  <si>
    <t xml:space="preserve"> Big basket </t>
  </si>
  <si>
    <t>Strongly Disagree</t>
  </si>
  <si>
    <t>₹60,000 - ₹1,00,000</t>
  </si>
  <si>
    <t>3-6 months</t>
  </si>
  <si>
    <t>Fast Delivery</t>
  </si>
  <si>
    <t>Postgraduate</t>
  </si>
  <si>
    <t xml:space="preserve"> Porter</t>
  </si>
  <si>
    <t>Morning</t>
  </si>
  <si>
    <t xml:space="preserve"> Medicines</t>
  </si>
  <si>
    <t>Self-employed</t>
  </si>
  <si>
    <t>Above ₹600</t>
  </si>
  <si>
    <t>Other</t>
  </si>
  <si>
    <t>Wallets (Paytm, PhonePe, etc.)</t>
  </si>
  <si>
    <t>Afternoon</t>
  </si>
  <si>
    <t xml:space="preserve"> Big Basket </t>
  </si>
  <si>
    <t>Emergency Needs</t>
  </si>
  <si>
    <t>Professional Degree</t>
  </si>
  <si>
    <t>Less than 3 months</t>
  </si>
  <si>
    <t>I prefer buying from local stores</t>
  </si>
  <si>
    <t>School Level</t>
  </si>
  <si>
    <t>No Formal Education</t>
  </si>
  <si>
    <t>Homemaker</t>
  </si>
  <si>
    <t xml:space="preserve"> big basket</t>
  </si>
  <si>
    <t xml:space="preserve"> Other</t>
  </si>
  <si>
    <t xml:space="preserve"> Do no trust online delivery</t>
  </si>
  <si>
    <t>Maybe</t>
  </si>
  <si>
    <t>Product quality concerns</t>
  </si>
  <si>
    <t>Below ₹20,000</t>
  </si>
  <si>
    <t>Better Offers</t>
  </si>
  <si>
    <t>Prefer not to say</t>
  </si>
  <si>
    <t>Midnight</t>
  </si>
  <si>
    <t>Personal Care</t>
  </si>
  <si>
    <t xml:space="preserve"> </t>
  </si>
  <si>
    <t>Product Availability</t>
  </si>
  <si>
    <t>Daily Essentials</t>
  </si>
  <si>
    <t>Medicines</t>
  </si>
  <si>
    <t>Retired</t>
  </si>
  <si>
    <t xml:space="preserve"> Not comfortable using apps</t>
  </si>
  <si>
    <t xml:space="preserve"> Not aware how to use the apps</t>
  </si>
  <si>
    <t xml:space="preserve"> My family member buys me the product </t>
  </si>
  <si>
    <t>Debit/Credit Card</t>
  </si>
  <si>
    <t xml:space="preserve"> Delivery charges are high</t>
  </si>
  <si>
    <t xml:space="preserve"> Payment safety concerns</t>
  </si>
  <si>
    <t>Do no trust online delivery</t>
  </si>
  <si>
    <t>Not comfortable using apps</t>
  </si>
  <si>
    <t>Not aware how to use the apps</t>
  </si>
  <si>
    <t>Improved Customer Support</t>
  </si>
  <si>
    <t xml:space="preserve"> Big Basket</t>
  </si>
  <si>
    <t>Lower Delivery Fees</t>
  </si>
  <si>
    <t>Not Available</t>
  </si>
  <si>
    <t>Others in Family use it so not requried</t>
  </si>
  <si>
    <t>Others in family use it so not required</t>
  </si>
  <si>
    <t>Others in Family Order it</t>
  </si>
  <si>
    <t xml:space="preserve">Groceries </t>
  </si>
  <si>
    <t>Row Labels</t>
  </si>
  <si>
    <t>Grand Total</t>
  </si>
  <si>
    <t>18-25</t>
  </si>
  <si>
    <t>26-33</t>
  </si>
  <si>
    <t>34-41</t>
  </si>
  <si>
    <t>42-49</t>
  </si>
  <si>
    <t>50 or above</t>
  </si>
  <si>
    <t>Count of App_Used</t>
  </si>
  <si>
    <t>Column Labels</t>
  </si>
  <si>
    <t>Count of Gender</t>
  </si>
  <si>
    <t>Count of Age_Group</t>
  </si>
  <si>
    <t>Count of Education</t>
  </si>
  <si>
    <t>Count of Occupation</t>
  </si>
  <si>
    <t>Count of Income</t>
  </si>
  <si>
    <t>Total number of respondents = 341</t>
  </si>
  <si>
    <t>Users</t>
  </si>
  <si>
    <t>Non-Users</t>
  </si>
  <si>
    <t>Count of Used_QC</t>
  </si>
  <si>
    <t>App_usex1</t>
  </si>
  <si>
    <t>App_usex2</t>
  </si>
  <si>
    <t>App_usex3</t>
  </si>
  <si>
    <t>App_usex4</t>
  </si>
  <si>
    <t>App_usex5</t>
  </si>
  <si>
    <t>App_usex6</t>
  </si>
  <si>
    <t>Items</t>
  </si>
  <si>
    <t>dont_usex1</t>
  </si>
  <si>
    <t>dont_usex2</t>
  </si>
  <si>
    <t>dont_usex3</t>
  </si>
  <si>
    <t>dont_usex4</t>
  </si>
  <si>
    <t>dont_usex5</t>
  </si>
  <si>
    <t>dont_usex6</t>
  </si>
  <si>
    <t>dont_usex7</t>
  </si>
  <si>
    <t>dont_usex8</t>
  </si>
  <si>
    <t>dont_usex9</t>
  </si>
  <si>
    <t>dont_usex10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</si>
</sst>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Aptos Narrow"/>
      <family val="2"/>
      <scheme val="minor"/>
    </font>
    <font>
      <sz val="36"/>
      <color theme="1"/>
      <name val="Aptos Narrow"/>
      <family val="2"/>
      <scheme val="minor"/>
    </font>
    <font>
      <b/>
      <sz val="36"/>
      <color theme="1"/>
      <name val="Aptos Narrow"/>
      <family val="2"/>
      <scheme val="minor"/>
    </font>
    <font>
      <b/>
      <sz val="22"/>
      <color theme="1"/>
      <name val="Aptos Narrow"/>
      <family val="2"/>
      <scheme val="minor"/>
    </font>
    <font>
      <b/>
      <sz val="10"/>
      <color theme="3" tint="0.499984740745262"/>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1" fillId="0" borderId="5" xfId="0" applyFont="1" applyBorder="1"/>
    <xf numFmtId="0" fontId="3" fillId="0" borderId="0" xfId="0" applyFont="1" applyAlignment="1">
      <alignment vertical="center"/>
    </xf>
    <xf numFmtId="0" fontId="1" fillId="0" borderId="0" xfId="0" applyFont="1" applyAlignment="1">
      <alignment horizontal="center"/>
    </xf>
    <xf numFmtId="0" fontId="6" fillId="2" borderId="5" xfId="0" applyFont="1" applyFill="1" applyBorder="1" applyAlignment="1">
      <alignment horizontal="left" vertical="center"/>
    </xf>
    <xf numFmtId="0" fontId="1" fillId="0" borderId="0" xfId="0" applyFont="1" applyAlignment="1">
      <alignment horizontal="center"/>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5" fillId="0" borderId="0" xfId="1" applyNumberFormat="1" applyFont="1" applyAlignment="1">
      <alignment horizontal="center" vertical="center"/>
    </xf>
    <xf numFmtId="0" fontId="1" fillId="0" borderId="0" xfId="0" applyFont="1" applyAlignment="1">
      <alignment horizontal="center" wrapText="1"/>
    </xf>
    <xf numFmtId="0" fontId="4" fillId="0" borderId="0" xfId="0" applyFont="1" applyAlignment="1">
      <alignment horizontal="center" vertical="center"/>
    </xf>
  </cellXfs>
  <cellStyles count="2">
    <cellStyle name="Normal" xfId="0" builtinId="0"/>
    <cellStyle name="Percent" xfId="1" builtinId="5"/>
  </cellStyles>
  <dxfs count="4">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0" formatCode="Genera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[me.xlsx]most used app!PivotTable5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App Usage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4420669291338581"/>
          <c:y val="0.12018226888305629"/>
          <c:w val="0.52547572178477686"/>
          <c:h val="0.87579286964129488"/>
        </c:manualLayout>
      </c:layout>
      <c:pieChart>
        <c:varyColors val="1"/>
        <c:ser>
          <c:idx val="0"/>
          <c:order val="0"/>
          <c:tx>
            <c:strRef>
              <c:f>'most used app'!$B$3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AF-4840-B17C-C3AD32B015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AF-4840-B17C-C3AD32B015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AF-4840-B17C-C3AD32B015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AF-4840-B17C-C3AD32B0154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'most used app'!$A$4:$A$8</c:f>
              <c:strCache>
                <c:ptCount val="4"/>
                <c:pt idx="0">
                  <c:v>Blinkit</c:v>
                </c:pt>
                <c:pt idx="1">
                  <c:v>Other</c:v>
                </c:pt>
                <c:pt idx="2">
                  <c:v>Swiggy Instamart</c:v>
                </c:pt>
                <c:pt idx="3">
                  <c:v>Zepto</c:v>
                </c:pt>
              </c:strCache>
            </c:strRef>
          </c:cat>
          <c:val>
            <c:numRef>
              <c:f>'most used app'!$B$4:$B$8</c:f>
              <c:numCache>
                <c:formatCode>General</c:formatCode>
                <c:ptCount val="4"/>
                <c:pt idx="0">
                  <c:v>142</c:v>
                </c:pt>
                <c:pt idx="1">
                  <c:v>6</c:v>
                </c:pt>
                <c:pt idx="2">
                  <c:v>43</c:v>
                </c:pt>
                <c:pt idx="3">
                  <c:v>37</c:v>
                </c:pt>
              </c:numCache>
            </c:numRef>
          </c:val>
          <c:extLst>
            <c:ext xmlns:c16="http://schemas.microsoft.com/office/drawing/2014/chart" uri="{C3380CC4-5D6E-409C-BE32-E72D297353CC}">
              <c16:uniqueId val="{00000000-13A6-40B1-BF98-B66F4F842B1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[me.xlsx]education+app!PivotTable1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a:t>
            </a:r>
            <a:r>
              <a:rPr lang="en-IN"/>
              <a:t> </a:t>
            </a:r>
            <a:r>
              <a:rPr lang="en-IN" sz="1400" b="1" i="0" u="none" strike="noStrike" kern="1200" spc="0" baseline="0">
                <a:solidFill>
                  <a:sysClr val="windowText" lastClr="000000">
                    <a:lumMod val="65000"/>
                    <a:lumOff val="35000"/>
                  </a:sysClr>
                </a:solidFill>
                <a:latin typeface="+mn-lt"/>
                <a:ea typeface="+mn-ea"/>
                <a:cs typeface="+mn-cs"/>
              </a:rPr>
              <a:t>Usage</a:t>
            </a:r>
            <a:r>
              <a:rPr lang="en-IN"/>
              <a:t> </a:t>
            </a:r>
            <a:r>
              <a:rPr lang="en-IN" sz="1400" b="1" i="0" u="none" strike="noStrike" kern="1200" spc="0" baseline="0">
                <a:solidFill>
                  <a:sysClr val="windowText" lastClr="000000">
                    <a:lumMod val="65000"/>
                    <a:lumOff val="35000"/>
                  </a:sysClr>
                </a:solidFill>
                <a:latin typeface="+mn-lt"/>
                <a:ea typeface="+mn-ea"/>
                <a:cs typeface="+mn-cs"/>
              </a:rPr>
              <a:t>by</a:t>
            </a:r>
            <a:r>
              <a:rPr lang="en-IN"/>
              <a:t> </a:t>
            </a:r>
            <a:r>
              <a:rPr lang="en-IN" sz="1400" b="1" i="0" u="none" strike="noStrike" kern="1200" spc="0" baseline="0">
                <a:solidFill>
                  <a:sysClr val="windowText" lastClr="000000">
                    <a:lumMod val="65000"/>
                    <a:lumOff val="35000"/>
                  </a:sysClr>
                </a:solidFill>
                <a:latin typeface="+mn-lt"/>
                <a:ea typeface="+mn-ea"/>
                <a:cs typeface="+mn-cs"/>
              </a:rPr>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'education+app'!$B$5:$B$10</c:f>
              <c:numCache>
                <c:formatCode>General</c:formatCode>
                <c:ptCount val="5"/>
                <c:pt idx="0">
                  <c:v>7</c:v>
                </c:pt>
                <c:pt idx="1">
                  <c:v>49</c:v>
                </c:pt>
                <c:pt idx="2">
                  <c:v>55</c:v>
                </c:pt>
                <c:pt idx="3">
                  <c:v>27</c:v>
                </c:pt>
                <c:pt idx="4">
                  <c:v>4</c:v>
                </c:pt>
              </c:numCache>
            </c:numRef>
          </c:val>
          <c:extLst>
            <c:ext xmlns:c16="http://schemas.microsoft.com/office/drawing/2014/chart" uri="{C3380CC4-5D6E-409C-BE32-E72D297353CC}">
              <c16:uniqueId val="{00000000-8258-4500-B6E8-54D2918CAF14}"/>
            </c:ext>
          </c:extLst>
        </c:ser>
        <c:ser>
          <c:idx val="1"/>
          <c:order val="1"/>
          <c:tx>
            <c:strRef>
              <c:f>'education+app'!$C$3:$C$4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'education+app'!$C$5:$C$10</c:f>
              <c:numCache>
                <c:formatCode>General</c:formatCode>
                <c:ptCount val="5"/>
                <c:pt idx="0">
                  <c:v>2</c:v>
                </c:pt>
                <c:pt idx="1">
                  <c:v>10</c:v>
                </c:pt>
                <c:pt idx="2">
                  <c:v>19</c:v>
                </c:pt>
                <c:pt idx="3">
                  <c:v>11</c:v>
                </c:pt>
                <c:pt idx="4">
                  <c:v>1</c:v>
                </c:pt>
              </c:numCache>
            </c:numRef>
          </c:val>
          <c:extLst>
            <c:ext xmlns:c16="http://schemas.microsoft.com/office/drawing/2014/chart" uri="{C3380CC4-5D6E-409C-BE32-E72D297353CC}">
              <c16:uniqueId val="{00000000-71C8-43C7-A189-6A9F79562FF0}"/>
            </c:ext>
          </c:extLst>
        </c:ser>
        <c:ser>
          <c:idx val="2"/>
          <c:order val="2"/>
          <c:tx>
            <c:strRef>
              <c:f>'education+app'!$D$3:$D$4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'education+app'!$D$5:$D$10</c:f>
              <c:numCache>
                <c:formatCode>General</c:formatCode>
                <c:ptCount val="5"/>
                <c:pt idx="0">
                  <c:v>1</c:v>
                </c:pt>
                <c:pt idx="1">
                  <c:v>13</c:v>
                </c:pt>
                <c:pt idx="2">
                  <c:v>15</c:v>
                </c:pt>
                <c:pt idx="3">
                  <c:v>8</c:v>
                </c:pt>
              </c:numCache>
            </c:numRef>
          </c:val>
          <c:extLst>
            <c:ext xmlns:c16="http://schemas.microsoft.com/office/drawing/2014/chart" uri="{C3380CC4-5D6E-409C-BE32-E72D297353CC}">
              <c16:uniqueId val="{00000001-71C8-43C7-A189-6A9F79562FF0}"/>
            </c:ext>
          </c:extLst>
        </c:ser>
        <c:ser>
          <c:idx val="3"/>
          <c:order val="3"/>
          <c:tx>
            <c:strRef>
              <c:f>'education+app'!$E$3:$E$4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'education+app'!$E$5:$E$10</c:f>
              <c:numCache>
                <c:formatCode>General</c:formatCode>
                <c:ptCount val="5"/>
                <c:pt idx="0">
                  <c:v>1</c:v>
                </c:pt>
                <c:pt idx="1">
                  <c:v>2</c:v>
                </c:pt>
                <c:pt idx="2">
                  <c:v>2</c:v>
                </c:pt>
                <c:pt idx="3">
                  <c:v>1</c:v>
                </c:pt>
              </c:numCache>
            </c:numRef>
          </c:val>
          <c:extLst>
            <c:ext xmlns:c16="http://schemas.microsoft.com/office/drawing/2014/chart" uri="{C3380CC4-5D6E-409C-BE32-E72D297353CC}">
              <c16:uniqueId val="{00000002-71C8-43C7-A189-6A9F79562FF0}"/>
            </c:ext>
          </c:extLst>
        </c:ser>
        <c:dLbls>
          <c:showLegendKey val="0"/>
          <c:showVal val="1"/>
          <c:showCatName val="0"/>
          <c:showSerName val="0"/>
          <c:showPercent val="0"/>
          <c:showBubbleSize val="0"/>
        </c:dLbls>
        <c:gapWidth val="150"/>
        <c:shape val="box"/>
        <c:axId val="1183210847"/>
        <c:axId val="1183209407"/>
        <c:axId val="0"/>
      </c:bar3DChart>
      <c:catAx>
        <c:axId val="118321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09407"/>
        <c:crosses val="autoZero"/>
        <c:auto val="1"/>
        <c:lblAlgn val="ctr"/>
        <c:lblOffset val="100"/>
        <c:noMultiLvlLbl val="0"/>
      </c:catAx>
      <c:valAx>
        <c:axId val="11832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1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[me.xlsx]work+app!PivotTable5</c:name>
    <c:fmtId val="0"/>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Occupation</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'work+app'!$B$4:$B$5</c:f>
              <c:strCache>
                <c:ptCount val="1"/>
                <c:pt idx="0">
                  <c:v>Blinkit</c:v>
                </c:pt>
              </c:strCache>
            </c:strRef>
          </c:tx>
          <c:spPr>
            <a:solidFill>
              <a:schemeClr val="accent1"/>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'work+app'!$B$6:$B$11</c:f>
              <c:numCache>
                <c:formatCode>General</c:formatCode>
                <c:ptCount val="5"/>
                <c:pt idx="0">
                  <c:v>19</c:v>
                </c:pt>
                <c:pt idx="1">
                  <c:v>29</c:v>
                </c:pt>
                <c:pt idx="2">
                  <c:v>34</c:v>
                </c:pt>
                <c:pt idx="3">
                  <c:v>54</c:v>
                </c:pt>
                <c:pt idx="4">
                  <c:v>6</c:v>
                </c:pt>
              </c:numCache>
            </c:numRef>
          </c:val>
          <c:extLst>
            <c:ext xmlns:c16="http://schemas.microsoft.com/office/drawing/2014/chart" uri="{C3380CC4-5D6E-409C-BE32-E72D297353CC}">
              <c16:uniqueId val="{00000000-C391-4610-BA3A-A344019F93E4}"/>
            </c:ext>
          </c:extLst>
        </c:ser>
        <c:ser>
          <c:idx val="1"/>
          <c:order val="1"/>
          <c:tx>
            <c:strRef>
              <c:f>'work+app'!$C$4:$C$5</c:f>
              <c:strCache>
                <c:ptCount val="1"/>
                <c:pt idx="0">
                  <c:v>Swiggy Instamart</c:v>
                </c:pt>
              </c:strCache>
            </c:strRef>
          </c:tx>
          <c:spPr>
            <a:solidFill>
              <a:schemeClr val="accent2"/>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'work+app'!$C$6:$C$11</c:f>
              <c:numCache>
                <c:formatCode>General</c:formatCode>
                <c:ptCount val="5"/>
                <c:pt idx="0">
                  <c:v>4</c:v>
                </c:pt>
                <c:pt idx="1">
                  <c:v>11</c:v>
                </c:pt>
                <c:pt idx="2">
                  <c:v>7</c:v>
                </c:pt>
                <c:pt idx="3">
                  <c:v>20</c:v>
                </c:pt>
                <c:pt idx="4">
                  <c:v>1</c:v>
                </c:pt>
              </c:numCache>
            </c:numRef>
          </c:val>
          <c:extLst>
            <c:ext xmlns:c16="http://schemas.microsoft.com/office/drawing/2014/chart" uri="{C3380CC4-5D6E-409C-BE32-E72D297353CC}">
              <c16:uniqueId val="{00000001-730D-4FDD-A8F1-8A63EB1CFC61}"/>
            </c:ext>
          </c:extLst>
        </c:ser>
        <c:ser>
          <c:idx val="2"/>
          <c:order val="2"/>
          <c:tx>
            <c:strRef>
              <c:f>'work+app'!$D$4:$D$5</c:f>
              <c:strCache>
                <c:ptCount val="1"/>
                <c:pt idx="0">
                  <c:v>Zepto</c:v>
                </c:pt>
              </c:strCache>
            </c:strRef>
          </c:tx>
          <c:spPr>
            <a:solidFill>
              <a:schemeClr val="accent3"/>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'work+app'!$D$6:$D$11</c:f>
              <c:numCache>
                <c:formatCode>General</c:formatCode>
                <c:ptCount val="5"/>
                <c:pt idx="0">
                  <c:v>2</c:v>
                </c:pt>
                <c:pt idx="1">
                  <c:v>14</c:v>
                </c:pt>
                <c:pt idx="2">
                  <c:v>7</c:v>
                </c:pt>
                <c:pt idx="3">
                  <c:v>14</c:v>
                </c:pt>
              </c:numCache>
            </c:numRef>
          </c:val>
          <c:extLst>
            <c:ext xmlns:c16="http://schemas.microsoft.com/office/drawing/2014/chart" uri="{C3380CC4-5D6E-409C-BE32-E72D297353CC}">
              <c16:uniqueId val="{00000002-730D-4FDD-A8F1-8A63EB1CFC61}"/>
            </c:ext>
          </c:extLst>
        </c:ser>
        <c:ser>
          <c:idx val="3"/>
          <c:order val="3"/>
          <c:tx>
            <c:strRef>
              <c:f>'work+app'!$E$4:$E$5</c:f>
              <c:strCache>
                <c:ptCount val="1"/>
                <c:pt idx="0">
                  <c:v>Other</c:v>
                </c:pt>
              </c:strCache>
            </c:strRef>
          </c:tx>
          <c:spPr>
            <a:solidFill>
              <a:schemeClr val="accent4"/>
            </a:solidFill>
            <a:ln>
              <a:noFill/>
            </a:ln>
            <a:effectLst/>
            <a:sp3d/>
          </c:spPr>
          <c:invertIfNegative val="0"/>
          <c:cat>
            <c:strRef>
              <c:f>'work+app'!$A$6:$A$11</c:f>
              <c:strCache>
                <c:ptCount val="5"/>
                <c:pt idx="0">
                  <c:v>Homemaker</c:v>
                </c:pt>
                <c:pt idx="1">
                  <c:v>Self-employed</c:v>
                </c:pt>
                <c:pt idx="2">
                  <c:v>Student</c:v>
                </c:pt>
                <c:pt idx="3">
                  <c:v>Working professional</c:v>
                </c:pt>
                <c:pt idx="4">
                  <c:v>Retired</c:v>
                </c:pt>
              </c:strCache>
            </c:strRef>
          </c:cat>
          <c:val>
            <c:numRef>
              <c:f>'work+app'!$E$6:$E$11</c:f>
              <c:numCache>
                <c:formatCode>General</c:formatCode>
                <c:ptCount val="5"/>
                <c:pt idx="0">
                  <c:v>1</c:v>
                </c:pt>
                <c:pt idx="2">
                  <c:v>2</c:v>
                </c:pt>
                <c:pt idx="3">
                  <c:v>3</c:v>
                </c:pt>
              </c:numCache>
            </c:numRef>
          </c:val>
          <c:extLst>
            <c:ext xmlns:c16="http://schemas.microsoft.com/office/drawing/2014/chart" uri="{C3380CC4-5D6E-409C-BE32-E72D297353CC}">
              <c16:uniqueId val="{00000003-730D-4FDD-A8F1-8A63EB1CFC61}"/>
            </c:ext>
          </c:extLst>
        </c:ser>
        <c:dLbls>
          <c:showLegendKey val="0"/>
          <c:showVal val="0"/>
          <c:showCatName val="0"/>
          <c:showSerName val="0"/>
          <c:showPercent val="0"/>
          <c:showBubbleSize val="0"/>
        </c:dLbls>
        <c:gapWidth val="150"/>
        <c:shape val="box"/>
        <c:axId val="1711484720"/>
        <c:axId val="1711485680"/>
        <c:axId val="0"/>
      </c:bar3DChart>
      <c:catAx>
        <c:axId val="171148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5680"/>
        <c:crosses val="autoZero"/>
        <c:auto val="1"/>
        <c:lblAlgn val="ctr"/>
        <c:lblOffset val="100"/>
        <c:noMultiLvlLbl val="0"/>
      </c:catAx>
      <c:valAx>
        <c:axId val="17114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[me.xlsx]app+gender!PivotTable7</c:name>
    <c:fmtId val="0"/>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App Usage by Gender</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A48E440C-7F91-411D-9247-68F897F874D6}"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a:t>
                </a:r>
                <a:fld id="{9070929C-0C48-466E-AF9A-C3036B0637B2}"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75474628171478"/>
                  <c:h val="6.4739822415815038E-2"/>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9118049276098553"/>
              <c:y val="2.362847501205206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B445AD2-3E29-483A-836F-CE63369EBA99}" type="CATEGORYNAME">
                  <a:rPr lang="en-US"/>
                  <a:pPr>
                    <a:defRPr/>
                  </a:pPr>
                  <a:t>[CATEGORY NAME]</a:t>
                </a:fld>
                <a:r>
                  <a:rPr lang="en-US"/>
                  <a:t> </a:t>
                </a:r>
                <a:fld id="{8E100864-4A7E-410C-82A7-5794972F2B6E}" type="PERCENTAGE">
                  <a:rPr lang="en-US" baseline="0"/>
                  <a:pPr>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75041910083818"/>
                  <c:h val="0.11434856357241059"/>
                </c:manualLayout>
              </c15:layout>
              <c15:dlblFieldTable/>
              <c15:showDataLabelsRange val="0"/>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000524934383201"/>
          <c:y val="0.21764617188808846"/>
          <c:w val="0.4466563867016623"/>
          <c:h val="0.68423957111744016"/>
        </c:manualLayout>
      </c:layout>
      <c:pieChart>
        <c:varyColors val="1"/>
        <c:ser>
          <c:idx val="0"/>
          <c:order val="0"/>
          <c:tx>
            <c:strRef>
              <c:f>'app+gender'!$B$3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66-4012-AA6E-52A80F6EA9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66-4012-AA6E-52A80F6EA9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B7C4-43F7-A203-B8CF715BFF48}"/>
              </c:ext>
            </c:extLst>
          </c:dPt>
          <c:dLbls>
            <c:dLbl>
              <c:idx val="2"/>
              <c:layout>
                <c:manualLayout>
                  <c:x val="-0.19118049276098553"/>
                  <c:y val="2.3628475012052064E-2"/>
                </c:manualLayout>
              </c:layout>
              <c:tx>
                <c:rich>
                  <a:bodyPr/>
                  <a:lstStyle/>
                  <a:p>
                    <a:fld id="{9B445AD2-3E29-483A-836F-CE63369EBA99}" type="CATEGORYNAME">
                      <a:rPr lang="en-US"/>
                      <a:pPr/>
                      <a:t>[CATEGORY NAME]</a:t>
                    </a:fld>
                    <a:r>
                      <a:rPr lang="en-US"/>
                      <a:t> </a:t>
                    </a:r>
                    <a:fld id="{8E100864-4A7E-410C-82A7-5794972F2B6E}" type="PERCENTAGE">
                      <a:rPr lang="en-US" baseline="0"/>
                      <a:pPr/>
                      <a:t>[PERCENTAGE]</a:t>
                    </a:fld>
                    <a:endParaRPr lang="en-US"/>
                  </a:p>
                </c:rich>
              </c:tx>
              <c:showLegendKey val="0"/>
              <c:showVal val="0"/>
              <c:showCatName val="1"/>
              <c:showSerName val="0"/>
              <c:showPercent val="1"/>
              <c:showBubbleSize val="0"/>
              <c:extLst>
                <c:ext xmlns:c15="http://schemas.microsoft.com/office/drawing/2012/chart" uri="{CE6537A1-D6FC-4f65-9D91-7224C49458BB}">
                  <c15:layout>
                    <c:manualLayout>
                      <c:w val="0.26075041910083818"/>
                      <c:h val="0.11434856357241059"/>
                    </c:manualLayout>
                  </c15:layout>
                  <c15:dlblFieldTable/>
                  <c15:showDataLabelsRange val="0"/>
                </c:ext>
                <c:ext xmlns:c16="http://schemas.microsoft.com/office/drawing/2014/chart" uri="{C3380CC4-5D6E-409C-BE32-E72D297353CC}">
                  <c16:uniqueId val="{00000006-B7C4-43F7-A203-B8CF715BFF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'app+gender'!$A$4:$A$7</c:f>
              <c:strCache>
                <c:ptCount val="3"/>
                <c:pt idx="0">
                  <c:v>Female</c:v>
                </c:pt>
                <c:pt idx="1">
                  <c:v>Male</c:v>
                </c:pt>
                <c:pt idx="2">
                  <c:v>Prefer not to say</c:v>
                </c:pt>
              </c:strCache>
            </c:strRef>
          </c:cat>
          <c:val>
            <c:numRef>
              <c:f>'app+gender'!$B$4:$B$7</c:f>
              <c:numCache>
                <c:formatCode>General</c:formatCode>
                <c:ptCount val="3"/>
                <c:pt idx="0">
                  <c:v>112</c:v>
                </c:pt>
                <c:pt idx="1">
                  <c:v>113</c:v>
                </c:pt>
                <c:pt idx="2">
                  <c:v>3</c:v>
                </c:pt>
              </c:numCache>
            </c:numRef>
          </c:val>
          <c:extLst>
            <c:ext xmlns:c16="http://schemas.microsoft.com/office/drawing/2014/chart" uri="{C3380CC4-5D6E-409C-BE32-E72D297353CC}">
              <c16:uniqueId val="{00000000-B7C4-43F7-A203-B8CF715BFF4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[me.xlsx]app+income!PivotTable6</c:name>
    <c:fmtId val="0"/>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Income Group</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'app+income'!$B$4:$B$5</c:f>
              <c:strCache>
                <c:ptCount val="1"/>
                <c:pt idx="0">
                  <c:v>Blinkit</c:v>
                </c:pt>
              </c:strCache>
            </c:strRef>
          </c:tx>
          <c:spPr>
            <a:solidFill>
              <a:schemeClr val="accent1"/>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'app+income'!$B$6:$B$11</c:f>
              <c:numCache>
                <c:formatCode>General</c:formatCode>
                <c:ptCount val="5"/>
                <c:pt idx="0">
                  <c:v>7</c:v>
                </c:pt>
                <c:pt idx="1">
                  <c:v>24</c:v>
                </c:pt>
                <c:pt idx="2">
                  <c:v>40</c:v>
                </c:pt>
                <c:pt idx="3">
                  <c:v>26</c:v>
                </c:pt>
                <c:pt idx="4">
                  <c:v>45</c:v>
                </c:pt>
              </c:numCache>
            </c:numRef>
          </c:val>
          <c:extLst>
            <c:ext xmlns:c16="http://schemas.microsoft.com/office/drawing/2014/chart" uri="{C3380CC4-5D6E-409C-BE32-E72D297353CC}">
              <c16:uniqueId val="{00000000-94BA-449B-8AEE-73FEA6797643}"/>
            </c:ext>
          </c:extLst>
        </c:ser>
        <c:ser>
          <c:idx val="1"/>
          <c:order val="1"/>
          <c:tx>
            <c:strRef>
              <c:f>'app+income'!$C$4:$C$5</c:f>
              <c:strCache>
                <c:ptCount val="1"/>
                <c:pt idx="0">
                  <c:v>Swiggy Instamart</c:v>
                </c:pt>
              </c:strCache>
            </c:strRef>
          </c:tx>
          <c:spPr>
            <a:solidFill>
              <a:schemeClr val="accent2"/>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'app+income'!$C$6:$C$11</c:f>
              <c:numCache>
                <c:formatCode>General</c:formatCode>
                <c:ptCount val="5"/>
                <c:pt idx="0">
                  <c:v>2</c:v>
                </c:pt>
                <c:pt idx="1">
                  <c:v>15</c:v>
                </c:pt>
                <c:pt idx="2">
                  <c:v>10</c:v>
                </c:pt>
                <c:pt idx="3">
                  <c:v>9</c:v>
                </c:pt>
                <c:pt idx="4">
                  <c:v>7</c:v>
                </c:pt>
              </c:numCache>
            </c:numRef>
          </c:val>
          <c:extLst>
            <c:ext xmlns:c16="http://schemas.microsoft.com/office/drawing/2014/chart" uri="{C3380CC4-5D6E-409C-BE32-E72D297353CC}">
              <c16:uniqueId val="{00000001-41EF-4651-9EB9-15ECC242DBDB}"/>
            </c:ext>
          </c:extLst>
        </c:ser>
        <c:ser>
          <c:idx val="2"/>
          <c:order val="2"/>
          <c:tx>
            <c:strRef>
              <c:f>'app+income'!$D$4:$D$5</c:f>
              <c:strCache>
                <c:ptCount val="1"/>
                <c:pt idx="0">
                  <c:v>Zepto</c:v>
                </c:pt>
              </c:strCache>
            </c:strRef>
          </c:tx>
          <c:spPr>
            <a:solidFill>
              <a:schemeClr val="accent3"/>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'app+income'!$D$6:$D$11</c:f>
              <c:numCache>
                <c:formatCode>General</c:formatCode>
                <c:ptCount val="5"/>
                <c:pt idx="0">
                  <c:v>1</c:v>
                </c:pt>
                <c:pt idx="1">
                  <c:v>5</c:v>
                </c:pt>
                <c:pt idx="2">
                  <c:v>10</c:v>
                </c:pt>
                <c:pt idx="3">
                  <c:v>8</c:v>
                </c:pt>
                <c:pt idx="4">
                  <c:v>13</c:v>
                </c:pt>
              </c:numCache>
            </c:numRef>
          </c:val>
          <c:extLst>
            <c:ext xmlns:c16="http://schemas.microsoft.com/office/drawing/2014/chart" uri="{C3380CC4-5D6E-409C-BE32-E72D297353CC}">
              <c16:uniqueId val="{00000002-41EF-4651-9EB9-15ECC242DBDB}"/>
            </c:ext>
          </c:extLst>
        </c:ser>
        <c:ser>
          <c:idx val="3"/>
          <c:order val="3"/>
          <c:tx>
            <c:strRef>
              <c:f>'app+income'!$E$4:$E$5</c:f>
              <c:strCache>
                <c:ptCount val="1"/>
                <c:pt idx="0">
                  <c:v>Other</c:v>
                </c:pt>
              </c:strCache>
            </c:strRef>
          </c:tx>
          <c:spPr>
            <a:solidFill>
              <a:schemeClr val="accent4"/>
            </a:solidFill>
            <a:ln>
              <a:noFill/>
            </a:ln>
            <a:effectLst/>
            <a:sp3d/>
          </c:spPr>
          <c:invertIfNegative val="0"/>
          <c:cat>
            <c:strRef>
              <c:f>'app+income'!$A$6:$A$11</c:f>
              <c:strCache>
                <c:ptCount val="5"/>
                <c:pt idx="0">
                  <c:v>Below ₹20,000</c:v>
                </c:pt>
                <c:pt idx="1">
                  <c:v>₹20,000 - ₹40,000</c:v>
                </c:pt>
                <c:pt idx="2">
                  <c:v>₹40,000 - ₹60,000</c:v>
                </c:pt>
                <c:pt idx="3">
                  <c:v>₹60,000 - ₹1,00,000</c:v>
                </c:pt>
                <c:pt idx="4">
                  <c:v>Above ₹1,00,000</c:v>
                </c:pt>
              </c:strCache>
            </c:strRef>
          </c:cat>
          <c:val>
            <c:numRef>
              <c:f>'app+income'!$E$6:$E$11</c:f>
              <c:numCache>
                <c:formatCode>General</c:formatCode>
                <c:ptCount val="5"/>
                <c:pt idx="1">
                  <c:v>2</c:v>
                </c:pt>
                <c:pt idx="3">
                  <c:v>1</c:v>
                </c:pt>
                <c:pt idx="4">
                  <c:v>3</c:v>
                </c:pt>
              </c:numCache>
            </c:numRef>
          </c:val>
          <c:extLst>
            <c:ext xmlns:c16="http://schemas.microsoft.com/office/drawing/2014/chart" uri="{C3380CC4-5D6E-409C-BE32-E72D297353CC}">
              <c16:uniqueId val="{00000003-41EF-4651-9EB9-15ECC242DBDB}"/>
            </c:ext>
          </c:extLst>
        </c:ser>
        <c:dLbls>
          <c:showLegendKey val="0"/>
          <c:showVal val="0"/>
          <c:showCatName val="0"/>
          <c:showSerName val="0"/>
          <c:showPercent val="0"/>
          <c:showBubbleSize val="0"/>
        </c:dLbls>
        <c:gapWidth val="150"/>
        <c:shape val="box"/>
        <c:axId val="1708293552"/>
        <c:axId val="1708294992"/>
        <c:axId val="0"/>
      </c:bar3DChart>
      <c:catAx>
        <c:axId val="170829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4992"/>
        <c:crosses val="autoZero"/>
        <c:auto val="1"/>
        <c:lblAlgn val="ctr"/>
        <c:lblOffset val="100"/>
        <c:noMultiLvlLbl val="0"/>
      </c:catAx>
      <c:valAx>
        <c:axId val="170829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[me.xlsx]age+app!PivotTable6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App Usage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'age+app'!$B$3:$B$4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'age+app'!$B$5:$B$10</c:f>
              <c:numCache>
                <c:formatCode>General</c:formatCode>
                <c:ptCount val="5"/>
                <c:pt idx="0">
                  <c:v>38</c:v>
                </c:pt>
                <c:pt idx="1">
                  <c:v>35</c:v>
                </c:pt>
                <c:pt idx="2">
                  <c:v>35</c:v>
                </c:pt>
                <c:pt idx="3">
                  <c:v>16</c:v>
                </c:pt>
                <c:pt idx="4">
                  <c:v>18</c:v>
                </c:pt>
              </c:numCache>
            </c:numRef>
          </c:val>
          <c:extLst>
            <c:ext xmlns:c16="http://schemas.microsoft.com/office/drawing/2014/chart" uri="{C3380CC4-5D6E-409C-BE32-E72D297353CC}">
              <c16:uniqueId val="{00000000-E9A2-41F7-883B-5141942EB12D}"/>
            </c:ext>
          </c:extLst>
        </c:ser>
        <c:ser>
          <c:idx val="1"/>
          <c:order val="1"/>
          <c:tx>
            <c:strRef>
              <c:f>'age+app'!$C$3:$C$4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'age+app'!$C$5:$C$10</c:f>
              <c:numCache>
                <c:formatCode>General</c:formatCode>
                <c:ptCount val="5"/>
                <c:pt idx="0">
                  <c:v>6</c:v>
                </c:pt>
                <c:pt idx="1">
                  <c:v>19</c:v>
                </c:pt>
                <c:pt idx="2">
                  <c:v>10</c:v>
                </c:pt>
                <c:pt idx="3">
                  <c:v>3</c:v>
                </c:pt>
                <c:pt idx="4">
                  <c:v>5</c:v>
                </c:pt>
              </c:numCache>
            </c:numRef>
          </c:val>
          <c:extLst>
            <c:ext xmlns:c16="http://schemas.microsoft.com/office/drawing/2014/chart" uri="{C3380CC4-5D6E-409C-BE32-E72D297353CC}">
              <c16:uniqueId val="{00000001-F0B7-4084-9265-B1FAA09981CF}"/>
            </c:ext>
          </c:extLst>
        </c:ser>
        <c:ser>
          <c:idx val="2"/>
          <c:order val="2"/>
          <c:tx>
            <c:strRef>
              <c:f>'age+app'!$D$3:$D$4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'age+app'!$D$5:$D$10</c:f>
              <c:numCache>
                <c:formatCode>General</c:formatCode>
                <c:ptCount val="5"/>
                <c:pt idx="0">
                  <c:v>4</c:v>
                </c:pt>
                <c:pt idx="1">
                  <c:v>20</c:v>
                </c:pt>
                <c:pt idx="2">
                  <c:v>7</c:v>
                </c:pt>
                <c:pt idx="3">
                  <c:v>2</c:v>
                </c:pt>
                <c:pt idx="4">
                  <c:v>4</c:v>
                </c:pt>
              </c:numCache>
            </c:numRef>
          </c:val>
          <c:extLst>
            <c:ext xmlns:c16="http://schemas.microsoft.com/office/drawing/2014/chart" uri="{C3380CC4-5D6E-409C-BE32-E72D297353CC}">
              <c16:uniqueId val="{00000002-F0B7-4084-9265-B1FAA09981CF}"/>
            </c:ext>
          </c:extLst>
        </c:ser>
        <c:ser>
          <c:idx val="3"/>
          <c:order val="3"/>
          <c:tx>
            <c:strRef>
              <c:f>'age+app'!$E$3:$E$4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'age+app'!$E$5:$E$10</c:f>
              <c:numCache>
                <c:formatCode>General</c:formatCode>
                <c:ptCount val="5"/>
                <c:pt idx="0">
                  <c:v>2</c:v>
                </c:pt>
                <c:pt idx="1">
                  <c:v>1</c:v>
                </c:pt>
                <c:pt idx="2">
                  <c:v>1</c:v>
                </c:pt>
                <c:pt idx="3">
                  <c:v>2</c:v>
                </c:pt>
              </c:numCache>
            </c:numRef>
          </c:val>
          <c:extLst>
            <c:ext xmlns:c16="http://schemas.microsoft.com/office/drawing/2014/chart" uri="{C3380CC4-5D6E-409C-BE32-E72D297353CC}">
              <c16:uniqueId val="{00000003-F0B7-4084-9265-B1FAA09981CF}"/>
            </c:ext>
          </c:extLst>
        </c:ser>
        <c:dLbls>
          <c:showLegendKey val="0"/>
          <c:showVal val="1"/>
          <c:showCatName val="0"/>
          <c:showSerName val="0"/>
          <c:showPercent val="0"/>
          <c:showBubbleSize val="0"/>
        </c:dLbls>
        <c:gapWidth val="150"/>
        <c:shape val="box"/>
        <c:axId val="200734720"/>
        <c:axId val="200736160"/>
        <c:axId val="0"/>
      </c:bar3DChart>
      <c:catAx>
        <c:axId val="200734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6160"/>
        <c:crosses val="autoZero"/>
        <c:auto val="1"/>
        <c:lblAlgn val="ctr"/>
        <c:lblOffset val="100"/>
        <c:noMultiLvlLbl val="0"/>
      </c:catAx>
      <c:valAx>
        <c:axId val="20073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[me.xlsx]app+income!PivotTable6</c:name>
    <c:fmtId val="6"/>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Income Group</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78564307078764"/>
          <c:y val="0.1719386041757921"/>
          <c:w val="0.74905948820206048"/>
          <c:h val="0.41860157686775068"/>
        </c:manualLayout>
      </c:layout>
      <c:bar3DChart>
        <c:barDir val="col"/>
        <c:grouping val="stacked"/>
        <c:varyColors val="0"/>
        <c:ser>
          <c:idx val="0"/>
          <c:order val="0"/>
          <c:tx>
            <c:strRef>
              <c:f>'app+income'!$B$4:$B$5</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'app+income'!$B$6:$B$11</c:f>
              <c:numCache>
                <c:formatCode>General</c:formatCode>
                <c:ptCount val="5"/>
                <c:pt idx="0">
                  <c:v>7</c:v>
                </c:pt>
                <c:pt idx="1">
                  <c:v>24</c:v>
                </c:pt>
                <c:pt idx="2">
                  <c:v>40</c:v>
                </c:pt>
                <c:pt idx="3">
                  <c:v>26</c:v>
                </c:pt>
                <c:pt idx="4">
                  <c:v>45</c:v>
                </c:pt>
              </c:numCache>
            </c:numRef>
          </c:val>
          <c:extLst>
            <c:ext xmlns:c16="http://schemas.microsoft.com/office/drawing/2014/chart" uri="{C3380CC4-5D6E-409C-BE32-E72D297353CC}">
              <c16:uniqueId val="{00000000-0B48-41D2-8802-8C050EA04B23}"/>
            </c:ext>
          </c:extLst>
        </c:ser>
        <c:ser>
          <c:idx val="1"/>
          <c:order val="1"/>
          <c:tx>
            <c:strRef>
              <c:f>'app+income'!$C$4:$C$5</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'app+income'!$C$6:$C$11</c:f>
              <c:numCache>
                <c:formatCode>General</c:formatCode>
                <c:ptCount val="5"/>
                <c:pt idx="0">
                  <c:v>2</c:v>
                </c:pt>
                <c:pt idx="1">
                  <c:v>15</c:v>
                </c:pt>
                <c:pt idx="2">
                  <c:v>10</c:v>
                </c:pt>
                <c:pt idx="3">
                  <c:v>9</c:v>
                </c:pt>
                <c:pt idx="4">
                  <c:v>7</c:v>
                </c:pt>
              </c:numCache>
            </c:numRef>
          </c:val>
          <c:extLst>
            <c:ext xmlns:c16="http://schemas.microsoft.com/office/drawing/2014/chart" uri="{C3380CC4-5D6E-409C-BE32-E72D297353CC}">
              <c16:uniqueId val="{00000001-4340-46CC-BC60-EAFABF07AE40}"/>
            </c:ext>
          </c:extLst>
        </c:ser>
        <c:ser>
          <c:idx val="2"/>
          <c:order val="2"/>
          <c:tx>
            <c:strRef>
              <c:f>'app+income'!$D$4:$D$5</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'app+income'!$D$6:$D$11</c:f>
              <c:numCache>
                <c:formatCode>General</c:formatCode>
                <c:ptCount val="5"/>
                <c:pt idx="0">
                  <c:v>1</c:v>
                </c:pt>
                <c:pt idx="1">
                  <c:v>5</c:v>
                </c:pt>
                <c:pt idx="2">
                  <c:v>10</c:v>
                </c:pt>
                <c:pt idx="3">
                  <c:v>8</c:v>
                </c:pt>
                <c:pt idx="4">
                  <c:v>13</c:v>
                </c:pt>
              </c:numCache>
            </c:numRef>
          </c:val>
          <c:extLst>
            <c:ext xmlns:c16="http://schemas.microsoft.com/office/drawing/2014/chart" uri="{C3380CC4-5D6E-409C-BE32-E72D297353CC}">
              <c16:uniqueId val="{00000002-4340-46CC-BC60-EAFABF07AE40}"/>
            </c:ext>
          </c:extLst>
        </c:ser>
        <c:ser>
          <c:idx val="3"/>
          <c:order val="3"/>
          <c:tx>
            <c:strRef>
              <c:f>'app+income'!$E$4:$E$5</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'app+income'!$A$6:$A$11</c:f>
              <c:strCache>
                <c:ptCount val="5"/>
                <c:pt idx="0">
                  <c:v>Below ₹20,000</c:v>
                </c:pt>
                <c:pt idx="1">
                  <c:v>₹20,000 - ₹40,000</c:v>
                </c:pt>
                <c:pt idx="2">
                  <c:v>₹40,000 - ₹60,000</c:v>
                </c:pt>
                <c:pt idx="3">
                  <c:v>₹60,000 - ₹1,00,000</c:v>
                </c:pt>
                <c:pt idx="4">
                  <c:v>Above ₹1,00,000</c:v>
                </c:pt>
              </c:strCache>
            </c:strRef>
          </c:cat>
          <c:val>
            <c:numRef>
              <c:f>'app+income'!$E$6:$E$11</c:f>
              <c:numCache>
                <c:formatCode>General</c:formatCode>
                <c:ptCount val="5"/>
                <c:pt idx="1">
                  <c:v>2</c:v>
                </c:pt>
                <c:pt idx="3">
                  <c:v>1</c:v>
                </c:pt>
                <c:pt idx="4">
                  <c:v>3</c:v>
                </c:pt>
              </c:numCache>
            </c:numRef>
          </c:val>
          <c:extLst>
            <c:ext xmlns:c16="http://schemas.microsoft.com/office/drawing/2014/chart" uri="{C3380CC4-5D6E-409C-BE32-E72D297353CC}">
              <c16:uniqueId val="{00000003-4340-46CC-BC60-EAFABF07AE40}"/>
            </c:ext>
          </c:extLst>
        </c:ser>
        <c:dLbls>
          <c:showLegendKey val="0"/>
          <c:showVal val="1"/>
          <c:showCatName val="0"/>
          <c:showSerName val="0"/>
          <c:showPercent val="0"/>
          <c:showBubbleSize val="0"/>
        </c:dLbls>
        <c:gapWidth val="150"/>
        <c:shape val="box"/>
        <c:axId val="1708293552"/>
        <c:axId val="1708294992"/>
        <c:axId val="0"/>
      </c:bar3DChart>
      <c:catAx>
        <c:axId val="170829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sx="1000" sy="1000" algn="ctr" rotWithShape="0">
                    <a:srgbClr val="000000">
                      <a:alpha val="43137"/>
                    </a:srgbClr>
                  </a:outerShdw>
                </a:effectLst>
                <a:latin typeface="+mn-lt"/>
                <a:ea typeface="+mn-ea"/>
                <a:cs typeface="+mn-cs"/>
              </a:defRPr>
            </a:pPr>
            <a:endParaRPr lang="en-US"/>
          </a:p>
        </c:txPr>
        <c:crossAx val="1708294992"/>
        <c:crosses val="autoZero"/>
        <c:auto val="1"/>
        <c:lblAlgn val="ctr"/>
        <c:lblOffset val="100"/>
        <c:noMultiLvlLbl val="0"/>
      </c:catAx>
      <c:valAx>
        <c:axId val="170829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[me.xlsx]work+app!PivotTable5</c:name>
    <c:fmtId val="6"/>
  </c:pivotSource>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 Usage by Occupation</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'work+app'!$B$4:$B$5</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'work+app'!$B$6:$B$11</c:f>
              <c:numCache>
                <c:formatCode>General</c:formatCode>
                <c:ptCount val="5"/>
                <c:pt idx="0">
                  <c:v>19</c:v>
                </c:pt>
                <c:pt idx="1">
                  <c:v>29</c:v>
                </c:pt>
                <c:pt idx="2">
                  <c:v>34</c:v>
                </c:pt>
                <c:pt idx="3">
                  <c:v>54</c:v>
                </c:pt>
                <c:pt idx="4">
                  <c:v>6</c:v>
                </c:pt>
              </c:numCache>
            </c:numRef>
          </c:val>
          <c:extLst>
            <c:ext xmlns:c16="http://schemas.microsoft.com/office/drawing/2014/chart" uri="{C3380CC4-5D6E-409C-BE32-E72D297353CC}">
              <c16:uniqueId val="{00000000-B7EE-4B70-85EA-4146F9DA8A6B}"/>
            </c:ext>
          </c:extLst>
        </c:ser>
        <c:ser>
          <c:idx val="1"/>
          <c:order val="1"/>
          <c:tx>
            <c:strRef>
              <c:f>'work+app'!$C$4:$C$5</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'work+app'!$C$6:$C$11</c:f>
              <c:numCache>
                <c:formatCode>General</c:formatCode>
                <c:ptCount val="5"/>
                <c:pt idx="0">
                  <c:v>4</c:v>
                </c:pt>
                <c:pt idx="1">
                  <c:v>11</c:v>
                </c:pt>
                <c:pt idx="2">
                  <c:v>7</c:v>
                </c:pt>
                <c:pt idx="3">
                  <c:v>20</c:v>
                </c:pt>
                <c:pt idx="4">
                  <c:v>1</c:v>
                </c:pt>
              </c:numCache>
            </c:numRef>
          </c:val>
          <c:extLst>
            <c:ext xmlns:c16="http://schemas.microsoft.com/office/drawing/2014/chart" uri="{C3380CC4-5D6E-409C-BE32-E72D297353CC}">
              <c16:uniqueId val="{00000001-EF49-447A-856C-F772647C9B7C}"/>
            </c:ext>
          </c:extLst>
        </c:ser>
        <c:ser>
          <c:idx val="2"/>
          <c:order val="2"/>
          <c:tx>
            <c:strRef>
              <c:f>'work+app'!$D$4:$D$5</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'work+app'!$D$6:$D$11</c:f>
              <c:numCache>
                <c:formatCode>General</c:formatCode>
                <c:ptCount val="5"/>
                <c:pt idx="0">
                  <c:v>2</c:v>
                </c:pt>
                <c:pt idx="1">
                  <c:v>14</c:v>
                </c:pt>
                <c:pt idx="2">
                  <c:v>7</c:v>
                </c:pt>
                <c:pt idx="3">
                  <c:v>14</c:v>
                </c:pt>
              </c:numCache>
            </c:numRef>
          </c:val>
          <c:extLst>
            <c:ext xmlns:c16="http://schemas.microsoft.com/office/drawing/2014/chart" uri="{C3380CC4-5D6E-409C-BE32-E72D297353CC}">
              <c16:uniqueId val="{00000002-EF49-447A-856C-F772647C9B7C}"/>
            </c:ext>
          </c:extLst>
        </c:ser>
        <c:ser>
          <c:idx val="3"/>
          <c:order val="3"/>
          <c:tx>
            <c:strRef>
              <c:f>'work+app'!$E$4:$E$5</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'work+app'!$A$6:$A$11</c:f>
              <c:strCache>
                <c:ptCount val="5"/>
                <c:pt idx="0">
                  <c:v>Homemaker</c:v>
                </c:pt>
                <c:pt idx="1">
                  <c:v>Self-employed</c:v>
                </c:pt>
                <c:pt idx="2">
                  <c:v>Student</c:v>
                </c:pt>
                <c:pt idx="3">
                  <c:v>Working professional</c:v>
                </c:pt>
                <c:pt idx="4">
                  <c:v>Retired</c:v>
                </c:pt>
              </c:strCache>
            </c:strRef>
          </c:cat>
          <c:val>
            <c:numRef>
              <c:f>'work+app'!$E$6:$E$11</c:f>
              <c:numCache>
                <c:formatCode>General</c:formatCode>
                <c:ptCount val="5"/>
                <c:pt idx="0">
                  <c:v>1</c:v>
                </c:pt>
                <c:pt idx="2">
                  <c:v>2</c:v>
                </c:pt>
                <c:pt idx="3">
                  <c:v>3</c:v>
                </c:pt>
              </c:numCache>
            </c:numRef>
          </c:val>
          <c:extLst>
            <c:ext xmlns:c16="http://schemas.microsoft.com/office/drawing/2014/chart" uri="{C3380CC4-5D6E-409C-BE32-E72D297353CC}">
              <c16:uniqueId val="{00000003-EF49-447A-856C-F772647C9B7C}"/>
            </c:ext>
          </c:extLst>
        </c:ser>
        <c:dLbls>
          <c:showLegendKey val="0"/>
          <c:showVal val="1"/>
          <c:showCatName val="0"/>
          <c:showSerName val="0"/>
          <c:showPercent val="0"/>
          <c:showBubbleSize val="0"/>
        </c:dLbls>
        <c:gapWidth val="150"/>
        <c:shape val="box"/>
        <c:axId val="1711484720"/>
        <c:axId val="1711485680"/>
        <c:axId val="0"/>
      </c:bar3DChart>
      <c:catAx>
        <c:axId val="171148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5680"/>
        <c:crosses val="autoZero"/>
        <c:auto val="1"/>
        <c:lblAlgn val="ctr"/>
        <c:lblOffset val="100"/>
        <c:noMultiLvlLbl val="0"/>
      </c:catAx>
      <c:valAx>
        <c:axId val="17114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8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[me.xlsx]education+app!PivotTable1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App</a:t>
            </a:r>
            <a:r>
              <a:rPr lang="en-IN"/>
              <a:t> </a:t>
            </a:r>
            <a:r>
              <a:rPr lang="en-IN" sz="1400" b="1" i="0" u="none" strike="noStrike" kern="1200" spc="0" baseline="0">
                <a:solidFill>
                  <a:sysClr val="windowText" lastClr="000000">
                    <a:lumMod val="65000"/>
                    <a:lumOff val="35000"/>
                  </a:sysClr>
                </a:solidFill>
                <a:latin typeface="+mn-lt"/>
                <a:ea typeface="+mn-ea"/>
                <a:cs typeface="+mn-cs"/>
              </a:rPr>
              <a:t>Usage</a:t>
            </a:r>
            <a:r>
              <a:rPr lang="en-IN"/>
              <a:t> </a:t>
            </a:r>
            <a:r>
              <a:rPr lang="en-IN" sz="1400" b="1" i="0" u="none" strike="noStrike" kern="1200" spc="0" baseline="0">
                <a:solidFill>
                  <a:sysClr val="windowText" lastClr="000000">
                    <a:lumMod val="65000"/>
                    <a:lumOff val="35000"/>
                  </a:sysClr>
                </a:solidFill>
                <a:latin typeface="+mn-lt"/>
                <a:ea typeface="+mn-ea"/>
                <a:cs typeface="+mn-cs"/>
              </a:rPr>
              <a:t>by</a:t>
            </a:r>
            <a:r>
              <a:rPr lang="en-IN"/>
              <a:t> </a:t>
            </a:r>
            <a:r>
              <a:rPr lang="en-IN" sz="1400" b="1" i="0" u="none" strike="noStrike" kern="1200" spc="0" baseline="0">
                <a:solidFill>
                  <a:sysClr val="windowText" lastClr="000000">
                    <a:lumMod val="65000"/>
                    <a:lumOff val="35000"/>
                  </a:sysClr>
                </a:solidFill>
                <a:latin typeface="+mn-lt"/>
                <a:ea typeface="+mn-ea"/>
                <a:cs typeface="+mn-cs"/>
              </a:rPr>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'education+app'!$B$5:$B$10</c:f>
              <c:numCache>
                <c:formatCode>General</c:formatCode>
                <c:ptCount val="5"/>
                <c:pt idx="0">
                  <c:v>7</c:v>
                </c:pt>
                <c:pt idx="1">
                  <c:v>49</c:v>
                </c:pt>
                <c:pt idx="2">
                  <c:v>55</c:v>
                </c:pt>
                <c:pt idx="3">
                  <c:v>27</c:v>
                </c:pt>
                <c:pt idx="4">
                  <c:v>4</c:v>
                </c:pt>
              </c:numCache>
            </c:numRef>
          </c:val>
          <c:extLst>
            <c:ext xmlns:c16="http://schemas.microsoft.com/office/drawing/2014/chart" uri="{C3380CC4-5D6E-409C-BE32-E72D297353CC}">
              <c16:uniqueId val="{00000000-0A4E-46F3-8F12-385DDECCDA33}"/>
            </c:ext>
          </c:extLst>
        </c:ser>
        <c:ser>
          <c:idx val="1"/>
          <c:order val="1"/>
          <c:tx>
            <c:strRef>
              <c:f>'education+app'!$C$3:$C$4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'education+app'!$C$5:$C$10</c:f>
              <c:numCache>
                <c:formatCode>General</c:formatCode>
                <c:ptCount val="5"/>
                <c:pt idx="0">
                  <c:v>2</c:v>
                </c:pt>
                <c:pt idx="1">
                  <c:v>10</c:v>
                </c:pt>
                <c:pt idx="2">
                  <c:v>19</c:v>
                </c:pt>
                <c:pt idx="3">
                  <c:v>11</c:v>
                </c:pt>
                <c:pt idx="4">
                  <c:v>1</c:v>
                </c:pt>
              </c:numCache>
            </c:numRef>
          </c:val>
          <c:extLst>
            <c:ext xmlns:c16="http://schemas.microsoft.com/office/drawing/2014/chart" uri="{C3380CC4-5D6E-409C-BE32-E72D297353CC}">
              <c16:uniqueId val="{00000001-EC22-4516-8B04-27A789C87FF3}"/>
            </c:ext>
          </c:extLst>
        </c:ser>
        <c:ser>
          <c:idx val="2"/>
          <c:order val="2"/>
          <c:tx>
            <c:strRef>
              <c:f>'education+app'!$D$3:$D$4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'education+app'!$D$5:$D$10</c:f>
              <c:numCache>
                <c:formatCode>General</c:formatCode>
                <c:ptCount val="5"/>
                <c:pt idx="0">
                  <c:v>1</c:v>
                </c:pt>
                <c:pt idx="1">
                  <c:v>13</c:v>
                </c:pt>
                <c:pt idx="2">
                  <c:v>15</c:v>
                </c:pt>
                <c:pt idx="3">
                  <c:v>8</c:v>
                </c:pt>
              </c:numCache>
            </c:numRef>
          </c:val>
          <c:extLst>
            <c:ext xmlns:c16="http://schemas.microsoft.com/office/drawing/2014/chart" uri="{C3380CC4-5D6E-409C-BE32-E72D297353CC}">
              <c16:uniqueId val="{00000002-EC22-4516-8B04-27A789C87FF3}"/>
            </c:ext>
          </c:extLst>
        </c:ser>
        <c:ser>
          <c:idx val="3"/>
          <c:order val="3"/>
          <c:tx>
            <c:strRef>
              <c:f>'education+app'!$E$3:$E$4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'education+app'!$A$5:$A$10</c:f>
              <c:strCache>
                <c:ptCount val="5"/>
                <c:pt idx="0">
                  <c:v>School Level</c:v>
                </c:pt>
                <c:pt idx="1">
                  <c:v>Undergraduate</c:v>
                </c:pt>
                <c:pt idx="2">
                  <c:v>Postgraduate</c:v>
                </c:pt>
                <c:pt idx="3">
                  <c:v>Professional Degree</c:v>
                </c:pt>
                <c:pt idx="4">
                  <c:v>No Formal Education</c:v>
                </c:pt>
              </c:strCache>
            </c:strRef>
          </c:cat>
          <c:val>
            <c:numRef>
              <c:f>'education+app'!$E$5:$E$10</c:f>
              <c:numCache>
                <c:formatCode>General</c:formatCode>
                <c:ptCount val="5"/>
                <c:pt idx="0">
                  <c:v>1</c:v>
                </c:pt>
                <c:pt idx="1">
                  <c:v>2</c:v>
                </c:pt>
                <c:pt idx="2">
                  <c:v>2</c:v>
                </c:pt>
                <c:pt idx="3">
                  <c:v>1</c:v>
                </c:pt>
              </c:numCache>
            </c:numRef>
          </c:val>
          <c:extLst>
            <c:ext xmlns:c16="http://schemas.microsoft.com/office/drawing/2014/chart" uri="{C3380CC4-5D6E-409C-BE32-E72D297353CC}">
              <c16:uniqueId val="{00000003-EC22-4516-8B04-27A789C87FF3}"/>
            </c:ext>
          </c:extLst>
        </c:ser>
        <c:dLbls>
          <c:showLegendKey val="0"/>
          <c:showVal val="1"/>
          <c:showCatName val="0"/>
          <c:showSerName val="0"/>
          <c:showPercent val="0"/>
          <c:showBubbleSize val="0"/>
        </c:dLbls>
        <c:gapWidth val="150"/>
        <c:shape val="box"/>
        <c:axId val="1183210847"/>
        <c:axId val="1183209407"/>
        <c:axId val="0"/>
      </c:bar3DChart>
      <c:catAx>
        <c:axId val="1183210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09407"/>
        <c:crosses val="autoZero"/>
        <c:auto val="1"/>
        <c:lblAlgn val="ctr"/>
        <c:lblOffset val="100"/>
        <c:noMultiLvlLbl val="0"/>
      </c:catAx>
      <c:valAx>
        <c:axId val="118320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1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[me.xlsx]age+app!PivotTable6</c:name>
    <c:fmtId val="6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App Usage by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'age+app'!$B$3:$B$4</c:f>
              <c:strCache>
                <c:ptCount val="1"/>
                <c:pt idx="0">
                  <c:v>Blinkit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'age+app'!$B$5:$B$10</c:f>
              <c:numCache>
                <c:formatCode>General</c:formatCode>
                <c:ptCount val="5"/>
                <c:pt idx="0">
                  <c:v>38</c:v>
                </c:pt>
                <c:pt idx="1">
                  <c:v>35</c:v>
                </c:pt>
                <c:pt idx="2">
                  <c:v>35</c:v>
                </c:pt>
                <c:pt idx="3">
                  <c:v>16</c:v>
                </c:pt>
                <c:pt idx="4">
                  <c:v>18</c:v>
                </c:pt>
              </c:numCache>
            </c:numRef>
          </c:val>
          <c:extLst>
            <c:ext xmlns:c16="http://schemas.microsoft.com/office/drawing/2014/chart" uri="{C3380CC4-5D6E-409C-BE32-E72D297353CC}">
              <c16:uniqueId val="{00000000-E641-4C5C-B2B1-2EE2FDBAA818}"/>
            </c:ext>
          </c:extLst>
        </c:ser>
        <c:ser>
          <c:idx val="1"/>
          <c:order val="1"/>
          <c:tx>
            <c:strRef>
              <c:f>'age+app'!$C$3:$C$4</c:f>
              <c:strCache>
                <c:ptCount val="1"/>
                <c:pt idx="0">
                  <c:v>Swiggy Instamart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'age+app'!$C$5:$C$10</c:f>
              <c:numCache>
                <c:formatCode>General</c:formatCode>
                <c:ptCount val="5"/>
                <c:pt idx="0">
                  <c:v>6</c:v>
                </c:pt>
                <c:pt idx="1">
                  <c:v>19</c:v>
                </c:pt>
                <c:pt idx="2">
                  <c:v>10</c:v>
                </c:pt>
                <c:pt idx="3">
                  <c:v>3</c:v>
                </c:pt>
                <c:pt idx="4">
                  <c:v>5</c:v>
                </c:pt>
              </c:numCache>
            </c:numRef>
          </c:val>
          <c:extLst>
            <c:ext xmlns:c16="http://schemas.microsoft.com/office/drawing/2014/chart" uri="{C3380CC4-5D6E-409C-BE32-E72D297353CC}">
              <c16:uniqueId val="{00000005-E641-4C5C-B2B1-2EE2FDBAA818}"/>
            </c:ext>
          </c:extLst>
        </c:ser>
        <c:ser>
          <c:idx val="2"/>
          <c:order val="2"/>
          <c:tx>
            <c:strRef>
              <c:f>'age+app'!$D$3:$D$4</c:f>
              <c:strCache>
                <c:ptCount val="1"/>
                <c:pt idx="0">
                  <c:v>Zepto</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'age+app'!$D$5:$D$10</c:f>
              <c:numCache>
                <c:formatCode>General</c:formatCode>
                <c:ptCount val="5"/>
                <c:pt idx="0">
                  <c:v>4</c:v>
                </c:pt>
                <c:pt idx="1">
                  <c:v>20</c:v>
                </c:pt>
                <c:pt idx="2">
                  <c:v>7</c:v>
                </c:pt>
                <c:pt idx="3">
                  <c:v>2</c:v>
                </c:pt>
                <c:pt idx="4">
                  <c:v>4</c:v>
                </c:pt>
              </c:numCache>
            </c:numRef>
          </c:val>
          <c:extLst>
            <c:ext xmlns:c16="http://schemas.microsoft.com/office/drawing/2014/chart" uri="{C3380CC4-5D6E-409C-BE32-E72D297353CC}">
              <c16:uniqueId val="{00000006-E641-4C5C-B2B1-2EE2FDBAA818}"/>
            </c:ext>
          </c:extLst>
        </c:ser>
        <c:ser>
          <c:idx val="3"/>
          <c:order val="3"/>
          <c:tx>
            <c:strRef>
              <c:f>'age+app'!$E$3:$E$4</c:f>
              <c:strCache>
                <c:ptCount val="1"/>
                <c:pt idx="0">
                  <c:v>Other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'age+app'!$A$5:$A$10</c:f>
              <c:strCache>
                <c:ptCount val="5"/>
                <c:pt idx="0">
                  <c:v>18-25</c:v>
                </c:pt>
                <c:pt idx="1">
                  <c:v>26-33</c:v>
                </c:pt>
                <c:pt idx="2">
                  <c:v>34-41</c:v>
                </c:pt>
                <c:pt idx="3">
                  <c:v>42-49</c:v>
                </c:pt>
                <c:pt idx="4">
                  <c:v>50 or above</c:v>
                </c:pt>
              </c:strCache>
            </c:strRef>
          </c:cat>
          <c:val>
            <c:numRef>
              <c:f>'age+app'!$E$5:$E$10</c:f>
              <c:numCache>
                <c:formatCode>General</c:formatCode>
                <c:ptCount val="5"/>
                <c:pt idx="0">
                  <c:v>2</c:v>
                </c:pt>
                <c:pt idx="1">
                  <c:v>1</c:v>
                </c:pt>
                <c:pt idx="2">
                  <c:v>1</c:v>
                </c:pt>
                <c:pt idx="3">
                  <c:v>2</c:v>
                </c:pt>
              </c:numCache>
            </c:numRef>
          </c:val>
          <c:extLst>
            <c:ext xmlns:c16="http://schemas.microsoft.com/office/drawing/2014/chart" uri="{C3380CC4-5D6E-409C-BE32-E72D297353CC}">
              <c16:uniqueId val="{00000007-E641-4C5C-B2B1-2EE2FDBAA818}"/>
            </c:ext>
          </c:extLst>
        </c:ser>
        <c:dLbls>
          <c:showLegendKey val="0"/>
          <c:showVal val="1"/>
          <c:showCatName val="0"/>
          <c:showSerName val="0"/>
          <c:showPercent val="0"/>
          <c:showBubbleSize val="0"/>
        </c:dLbls>
        <c:gapWidth val="150"/>
        <c:shape val="box"/>
        <c:axId val="200734720"/>
        <c:axId val="200736160"/>
        <c:axId val="0"/>
      </c:bar3DChart>
      <c:catAx>
        <c:axId val="200734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6160"/>
        <c:crosses val="autoZero"/>
        <c:auto val="1"/>
        <c:lblAlgn val="ctr"/>
        <c:lblOffset val="100"/>
        <c:noMultiLvlLbl val="0"/>
      </c:catAx>
      <c:valAx>
        <c:axId val="2007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participants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3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[me.xlsx]gender.!PivotTable8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964199475065617"/>
          <c:y val="0.2840282564679415"/>
          <c:w val="0.40716010498687666"/>
          <c:h val="0.67006920134983128"/>
        </c:manualLayout>
      </c:layout>
      <c:pieChart>
        <c:varyColors val="1"/>
        <c:ser>
          <c:idx val="0"/>
          <c:order val="0"/>
          <c:tx>
            <c:strRef>
              <c:f>gender.!$B$3:$B$4</c:f>
              <c:strCache>
                <c:ptCount val="1"/>
                <c:pt idx="0">
                  <c:v>Blinkit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10-4B7C-BB81-F5F4FFFA93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10-4B7C-BB81-F5F4FFFA93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2A-45ED-ADB9-98D6C55C565C}"/>
              </c:ext>
            </c:extLst>
          </c:dPt>
          <c:dLbls>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 xmlns:c16="http://schemas.microsoft.com/office/drawing/2014/chart" uri="{C3380CC4-5D6E-409C-BE32-E72D297353CC}">
                  <c16:uniqueId val="{00000005-B22A-45ED-ADB9-98D6C55C56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gender.!$A$5:$A$8</c:f>
              <c:strCache>
                <c:ptCount val="3"/>
                <c:pt idx="0">
                  <c:v>Female</c:v>
                </c:pt>
                <c:pt idx="1">
                  <c:v>Male</c:v>
                </c:pt>
                <c:pt idx="2">
                  <c:v>Prefer not to say</c:v>
                </c:pt>
              </c:strCache>
            </c:strRef>
          </c:cat>
          <c:val>
            <c:numRef>
              <c:f>gender.!$B$5:$B$8</c:f>
              <c:numCache>
                <c:formatCode>General</c:formatCode>
                <c:ptCount val="3"/>
                <c:pt idx="0">
                  <c:v>67</c:v>
                </c:pt>
                <c:pt idx="1">
                  <c:v>73</c:v>
                </c:pt>
                <c:pt idx="2">
                  <c:v>2</c:v>
                </c:pt>
              </c:numCache>
            </c:numRef>
          </c:val>
          <c:extLst>
            <c:ext xmlns:c16="http://schemas.microsoft.com/office/drawing/2014/chart" uri="{C3380CC4-5D6E-409C-BE32-E72D297353CC}">
              <c16:uniqueId val="{00000000-B22A-45ED-ADB9-98D6C55C565C}"/>
            </c:ext>
          </c:extLst>
        </c:ser>
        <c:ser>
          <c:idx val="1"/>
          <c:order val="1"/>
          <c:tx>
            <c:strRef>
              <c:f>gender.!$C$3:$C$4</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7D3-4E2A-B021-174ADC01C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7D3-4E2A-B021-174ADC01C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7D3-4E2A-B021-174ADC01C18D}"/>
              </c:ext>
            </c:extLst>
          </c:dPt>
          <c:cat>
            <c:strRef>
              <c:f>gender.!$A$5:$A$8</c:f>
              <c:strCache>
                <c:ptCount val="3"/>
                <c:pt idx="0">
                  <c:v>Female</c:v>
                </c:pt>
                <c:pt idx="1">
                  <c:v>Male</c:v>
                </c:pt>
                <c:pt idx="2">
                  <c:v>Prefer not to say</c:v>
                </c:pt>
              </c:strCache>
            </c:strRef>
          </c:cat>
          <c:val>
            <c:numRef>
              <c:f>gender.!$C$5:$C$8</c:f>
              <c:numCache>
                <c:formatCode>General</c:formatCode>
                <c:ptCount val="3"/>
                <c:pt idx="0">
                  <c:v>5</c:v>
                </c:pt>
                <c:pt idx="1">
                  <c:v>1</c:v>
                </c:pt>
              </c:numCache>
            </c:numRef>
          </c:val>
          <c:extLst>
            <c:ext xmlns:c16="http://schemas.microsoft.com/office/drawing/2014/chart" uri="{C3380CC4-5D6E-409C-BE32-E72D297353CC}">
              <c16:uniqueId val="{00000040-92DC-4E6F-84EC-C2B2F3BB7868}"/>
            </c:ext>
          </c:extLst>
        </c:ser>
        <c:ser>
          <c:idx val="2"/>
          <c:order val="2"/>
          <c:tx>
            <c:strRef>
              <c:f>gender.!$D$3:$D$4</c:f>
              <c:strCache>
                <c:ptCount val="1"/>
                <c:pt idx="0">
                  <c:v>Swiggy Instamart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D7D3-4E2A-B021-174ADC01C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D7D3-4E2A-B021-174ADC01C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D7D3-4E2A-B021-174ADC01C18D}"/>
              </c:ext>
            </c:extLst>
          </c:dPt>
          <c:cat>
            <c:strRef>
              <c:f>gender.!$A$5:$A$8</c:f>
              <c:strCache>
                <c:ptCount val="3"/>
                <c:pt idx="0">
                  <c:v>Female</c:v>
                </c:pt>
                <c:pt idx="1">
                  <c:v>Male</c:v>
                </c:pt>
                <c:pt idx="2">
                  <c:v>Prefer not to say</c:v>
                </c:pt>
              </c:strCache>
            </c:strRef>
          </c:cat>
          <c:val>
            <c:numRef>
              <c:f>gender.!$D$5:$D$8</c:f>
              <c:numCache>
                <c:formatCode>General</c:formatCode>
                <c:ptCount val="3"/>
                <c:pt idx="0">
                  <c:v>23</c:v>
                </c:pt>
                <c:pt idx="1">
                  <c:v>20</c:v>
                </c:pt>
              </c:numCache>
            </c:numRef>
          </c:val>
          <c:extLst>
            <c:ext xmlns:c16="http://schemas.microsoft.com/office/drawing/2014/chart" uri="{C3380CC4-5D6E-409C-BE32-E72D297353CC}">
              <c16:uniqueId val="{00000041-92DC-4E6F-84EC-C2B2F3BB7868}"/>
            </c:ext>
          </c:extLst>
        </c:ser>
        <c:ser>
          <c:idx val="3"/>
          <c:order val="3"/>
          <c:tx>
            <c:strRef>
              <c:f>gender.!$E$3:$E$4</c:f>
              <c:strCache>
                <c:ptCount val="1"/>
                <c:pt idx="0">
                  <c:v>Zepto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D7D3-4E2A-B021-174ADC01C1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D7D3-4E2A-B021-174ADC01C1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D7D3-4E2A-B021-174ADC01C18D}"/>
              </c:ext>
            </c:extLst>
          </c:dPt>
          <c:cat>
            <c:strRef>
              <c:f>gender.!$A$5:$A$8</c:f>
              <c:strCache>
                <c:ptCount val="3"/>
                <c:pt idx="0">
                  <c:v>Female</c:v>
                </c:pt>
                <c:pt idx="1">
                  <c:v>Male</c:v>
                </c:pt>
                <c:pt idx="2">
                  <c:v>Prefer not to say</c:v>
                </c:pt>
              </c:strCache>
            </c:strRef>
          </c:cat>
          <c:val>
            <c:numRef>
              <c:f>gender.!$E$5:$E$8</c:f>
              <c:numCache>
                <c:formatCode>General</c:formatCode>
                <c:ptCount val="3"/>
                <c:pt idx="0">
                  <c:v>17</c:v>
                </c:pt>
                <c:pt idx="1">
                  <c:v>19</c:v>
                </c:pt>
                <c:pt idx="2">
                  <c:v>1</c:v>
                </c:pt>
              </c:numCache>
            </c:numRef>
          </c:val>
          <c:extLst>
            <c:ext xmlns:c16="http://schemas.microsoft.com/office/drawing/2014/chart" uri="{C3380CC4-5D6E-409C-BE32-E72D297353CC}">
              <c16:uniqueId val="{00000042-92DC-4E6F-84EC-C2B2F3BB786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18-25</c:v>
                </c:pt>
                <c:pt idx="1">
                  <c:v>26-33</c:v>
                </c:pt>
                <c:pt idx="2">
                  <c:v>34-41</c:v>
                </c:pt>
                <c:pt idx="3">
                  <c:v>42-49</c:v>
                </c:pt>
                <c:pt idx="4">
                  <c:v>50 or above</c:v>
                </c:pt>
              </c:strCache>
            </c:strRef>
          </c:cat>
          <c:val>
            <c:numRef>
              <c:f>age!$B$4:$B$9</c:f>
              <c:numCache>
                <c:formatCode>0.00%</c:formatCode>
                <c:ptCount val="5"/>
                <c:pt idx="0">
                  <c:v>4.4247787610619468E-2</c:v>
                </c:pt>
                <c:pt idx="1">
                  <c:v>0.15044247787610621</c:v>
                </c:pt>
                <c:pt idx="2">
                  <c:v>0.17699115044247787</c:v>
                </c:pt>
                <c:pt idx="3">
                  <c:v>0.18584070796460178</c:v>
                </c:pt>
                <c:pt idx="4">
                  <c:v>0.44247787610619471</c:v>
                </c:pt>
              </c:numCache>
            </c:numRef>
          </c:val>
          <c:extLst>
            <c:ext xmlns:c16="http://schemas.microsoft.com/office/drawing/2014/chart" uri="{C3380CC4-5D6E-409C-BE32-E72D297353CC}">
              <c16:uniqueId val="{00000000-B4A9-4AF5-BB57-EDDE83D605FB}"/>
            </c:ext>
          </c:extLst>
        </c:ser>
        <c:dLbls>
          <c:showLegendKey val="0"/>
          <c:showVal val="1"/>
          <c:showCatName val="0"/>
          <c:showSerName val="0"/>
          <c:showPercent val="0"/>
          <c:showBubbleSize val="0"/>
        </c:dLbls>
        <c:gapWidth val="150"/>
        <c:shape val="box"/>
        <c:axId val="1365535328"/>
        <c:axId val="1365540608"/>
        <c:axId val="0"/>
      </c:bar3DChart>
      <c:catAx>
        <c:axId val="136553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Interval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0608"/>
        <c:crosses val="autoZero"/>
        <c:auto val="1"/>
        <c:lblAlgn val="ctr"/>
        <c:lblOffset val="100"/>
        <c:noMultiLvlLbl val="0"/>
      </c:catAx>
      <c:valAx>
        <c:axId val="136554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Respondents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Education!$B$3</c:f>
              <c:strCache>
                <c:ptCount val="1"/>
                <c:pt idx="0">
                  <c:v>Total</c:v>
                </c:pt>
              </c:strCache>
            </c:strRef>
          </c:tx>
          <c:spPr>
            <a:solidFill>
              <a:schemeClr val="accent1"/>
            </a:solidFill>
            <a:ln>
              <a:noFill/>
            </a:ln>
            <a:effectLst/>
            <a:sp3d/>
          </c:spPr>
          <c:invertIfNegative val="0"/>
          <c:cat>
            <c:strRef>
              <c:f>Education!$A$4:$A$9</c:f>
              <c:strCache>
                <c:ptCount val="5"/>
                <c:pt idx="0">
                  <c:v>School Level</c:v>
                </c:pt>
                <c:pt idx="1">
                  <c:v>Undergraduate</c:v>
                </c:pt>
                <c:pt idx="2">
                  <c:v>Postgraduate</c:v>
                </c:pt>
                <c:pt idx="3">
                  <c:v>Professional Degree</c:v>
                </c:pt>
                <c:pt idx="4">
                  <c:v>No Formal Education</c:v>
                </c:pt>
              </c:strCache>
            </c:strRef>
          </c:cat>
          <c:val>
            <c:numRef>
              <c:f>Education!$B$4:$B$9</c:f>
              <c:numCache>
                <c:formatCode>0.00%</c:formatCode>
                <c:ptCount val="5"/>
                <c:pt idx="0">
                  <c:v>4.8245614035087717E-2</c:v>
                </c:pt>
                <c:pt idx="1">
                  <c:v>0.32456140350877194</c:v>
                </c:pt>
                <c:pt idx="2">
                  <c:v>0.39912280701754388</c:v>
                </c:pt>
                <c:pt idx="3">
                  <c:v>0.20614035087719298</c:v>
                </c:pt>
                <c:pt idx="4">
                  <c:v>2.1929824561403508E-2</c:v>
                </c:pt>
              </c:numCache>
            </c:numRef>
          </c:val>
          <c:extLst>
            <c:ext xmlns:c16="http://schemas.microsoft.com/office/drawing/2014/chart" uri="{C3380CC4-5D6E-409C-BE32-E72D297353CC}">
              <c16:uniqueId val="{00000000-37A3-464B-AC33-1569F4396E96}"/>
            </c:ext>
          </c:extLst>
        </c:ser>
        <c:dLbls>
          <c:showLegendKey val="0"/>
          <c:showVal val="0"/>
          <c:showCatName val="0"/>
          <c:showSerName val="0"/>
          <c:showPercent val="0"/>
          <c:showBubbleSize val="0"/>
        </c:dLbls>
        <c:gapWidth val="150"/>
        <c:shape val="box"/>
        <c:axId val="1517437024"/>
        <c:axId val="1517439424"/>
        <c:axId val="0"/>
      </c:bar3DChart>
      <c:catAx>
        <c:axId val="151743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9424"/>
        <c:crosses val="autoZero"/>
        <c:auto val="1"/>
        <c:lblAlgn val="ctr"/>
        <c:lblOffset val="100"/>
        <c:noMultiLvlLbl val="0"/>
      </c:catAx>
      <c:valAx>
        <c:axId val="151743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[me.xlsx]occupation!PivotTable3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of Respondents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occupation!$B$3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occupation!$A$4:$A$9</c:f>
              <c:strCache>
                <c:ptCount val="5"/>
                <c:pt idx="0">
                  <c:v>Student</c:v>
                </c:pt>
                <c:pt idx="1">
                  <c:v>Self-employed</c:v>
                </c:pt>
                <c:pt idx="2">
                  <c:v>Working professional</c:v>
                </c:pt>
                <c:pt idx="3">
                  <c:v>Homemaker</c:v>
                </c:pt>
                <c:pt idx="4">
                  <c:v>Retired</c:v>
                </c:pt>
              </c:strCache>
            </c:strRef>
          </c:cat>
          <c:val>
            <c:numRef>
              <c:f>occupation!$B$4:$B$9</c:f>
              <c:numCache>
                <c:formatCode>0.00%</c:formatCode>
                <c:ptCount val="5"/>
                <c:pt idx="0">
                  <c:v>0.21929824561403508</c:v>
                </c:pt>
                <c:pt idx="1">
                  <c:v>0.23684210526315788</c:v>
                </c:pt>
                <c:pt idx="2">
                  <c:v>0.39912280701754388</c:v>
                </c:pt>
                <c:pt idx="3">
                  <c:v>0.11403508771929824</c:v>
                </c:pt>
                <c:pt idx="4">
                  <c:v>3.0701754385964911E-2</c:v>
                </c:pt>
              </c:numCache>
            </c:numRef>
          </c:val>
          <c:extLst>
            <c:ext xmlns:c16="http://schemas.microsoft.com/office/drawing/2014/chart" uri="{C3380CC4-5D6E-409C-BE32-E72D297353CC}">
              <c16:uniqueId val="{00000000-DFFB-459C-8A5E-255D3FB65CBF}"/>
            </c:ext>
          </c:extLst>
        </c:ser>
        <c:dLbls>
          <c:showLegendKey val="0"/>
          <c:showVal val="1"/>
          <c:showCatName val="0"/>
          <c:showSerName val="0"/>
          <c:showPercent val="0"/>
          <c:showBubbleSize val="0"/>
        </c:dLbls>
        <c:gapWidth val="150"/>
        <c:shape val="box"/>
        <c:axId val="1508496848"/>
        <c:axId val="1517437504"/>
        <c:axId val="0"/>
      </c:bar3DChart>
      <c:catAx>
        <c:axId val="1508496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504"/>
        <c:crosses val="autoZero"/>
        <c:auto val="1"/>
        <c:lblAlgn val="ctr"/>
        <c:lblOffset val="100"/>
        <c:noMultiLvlLbl val="0"/>
      </c:catAx>
      <c:valAx>
        <c:axId val="1517437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9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[me.xlsx]income!PivotTable4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income!$B$3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income!$A$4:$A$9</c:f>
              <c:strCache>
                <c:ptCount val="5"/>
                <c:pt idx="0">
                  <c:v>Below ₹20,000</c:v>
                </c:pt>
                <c:pt idx="1">
                  <c:v>₹20,000 - ₹40,000</c:v>
                </c:pt>
                <c:pt idx="2">
                  <c:v>₹40,000 - ₹60,000</c:v>
                </c:pt>
                <c:pt idx="3">
                  <c:v>₹60,000 - ₹1,00,000</c:v>
                </c:pt>
                <c:pt idx="4">
                  <c:v>Above ₹1,00,000</c:v>
                </c:pt>
              </c:strCache>
            </c:strRef>
          </c:cat>
          <c:val>
            <c:numRef>
              <c:f>income!$B$4:$B$9</c:f>
              <c:numCache>
                <c:formatCode>0.00%</c:formatCode>
                <c:ptCount val="5"/>
                <c:pt idx="0">
                  <c:v>4.3859649122807015E-2</c:v>
                </c:pt>
                <c:pt idx="1">
                  <c:v>0.20175438596491227</c:v>
                </c:pt>
                <c:pt idx="2">
                  <c:v>0.26315789473684209</c:v>
                </c:pt>
                <c:pt idx="3">
                  <c:v>0.19298245614035087</c:v>
                </c:pt>
                <c:pt idx="4">
                  <c:v>0.2982456140350877</c:v>
                </c:pt>
              </c:numCache>
            </c:numRef>
          </c:val>
          <c:extLst>
            <c:ext xmlns:c16="http://schemas.microsoft.com/office/drawing/2014/chart" uri="{C3380CC4-5D6E-409C-BE32-E72D297353CC}">
              <c16:uniqueId val="{00000000-4D3E-4DD1-98CF-C71850B31118}"/>
            </c:ext>
          </c:extLst>
        </c:ser>
        <c:dLbls>
          <c:showLegendKey val="0"/>
          <c:showVal val="1"/>
          <c:showCatName val="0"/>
          <c:showSerName val="0"/>
          <c:showPercent val="0"/>
          <c:showBubbleSize val="0"/>
        </c:dLbls>
        <c:gapWidth val="150"/>
        <c:shape val="box"/>
        <c:axId val="1486206528"/>
        <c:axId val="1486205088"/>
        <c:axId val="0"/>
      </c:bar3DChart>
      <c:catAx>
        <c:axId val="14862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5088"/>
        <c:crosses val="autoZero"/>
        <c:auto val="1"/>
        <c:lblAlgn val="ctr"/>
        <c:lblOffset val="100"/>
        <c:noMultiLvlLbl val="0"/>
      </c:catAx>
      <c:valAx>
        <c:axId val="148620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[me.xlsx]gender.!PivotTable8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20"/>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
        <c:idx val="24"/>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3"/>
          </a:solidFill>
          <a:ln w="19050">
            <a:solidFill>
              <a:schemeClr val="lt1"/>
            </a:solidFill>
          </a:ln>
          <a:effectLst/>
        </c:spPr>
      </c:pivotFmt>
      <c:pivotFmt>
        <c:idx val="3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Lst>
        </c:dLbl>
      </c:pivotFmt>
      <c:pivotFmt>
        <c:idx val="36"/>
        <c:marker>
          <c:symbol val="none"/>
        </c:marker>
        <c:dLbl>
          <c:idx val="0"/>
          <c:delete val="1"/>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3"/>
          </a:solidFill>
          <a:ln w="19050">
            <a:solidFill>
              <a:schemeClr val="lt1"/>
            </a:solidFill>
          </a:ln>
          <a:effectLst/>
        </c:spPr>
      </c:pivotFmt>
      <c:pivotFmt>
        <c:idx val="40"/>
        <c:marker>
          <c:symbol val="none"/>
        </c:marker>
        <c:dLbl>
          <c:idx val="0"/>
          <c:delete val="1"/>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3"/>
          </a:solidFill>
          <a:ln w="19050">
            <a:solidFill>
              <a:schemeClr val="lt1"/>
            </a:solidFill>
          </a:ln>
          <a:effectLst/>
        </c:spPr>
      </c:pivotFmt>
      <c:pivotFmt>
        <c:idx val="44"/>
        <c:marker>
          <c:symbol val="none"/>
        </c:marker>
        <c:dLbl>
          <c:idx val="0"/>
          <c:delete val="1"/>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3"/>
          </a:solidFill>
          <a:ln w="19050">
            <a:solidFill>
              <a:schemeClr val="lt1"/>
            </a:solidFill>
          </a:ln>
          <a:effectLst/>
        </c:spPr>
      </c:pivotFmt>
      <c:pivotFmt>
        <c:idx val="4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964199475065617"/>
          <c:y val="0.2840282564679415"/>
          <c:w val="0.40716010498687666"/>
          <c:h val="0.67006920134983128"/>
        </c:manualLayout>
      </c:layout>
      <c:pieChart>
        <c:varyColors val="1"/>
        <c:ser>
          <c:idx val="0"/>
          <c:order val="0"/>
          <c:tx>
            <c:strRef>
              <c:f>gender.!$B$3:$B$4</c:f>
              <c:strCache>
                <c:ptCount val="1"/>
                <c:pt idx="0">
                  <c:v>Blinkit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A5-47AF-A30E-D0B62A851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A5-47AF-A30E-D0B62A851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A5-47AF-A30E-D0B62A851864}"/>
              </c:ext>
            </c:extLst>
          </c:dPt>
          <c:dLbls>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643635170603668"/>
                      <c:h val="0.12440620922384701"/>
                    </c:manualLayout>
                  </c15:layout>
                </c:ext>
                <c:ext xmlns:c16="http://schemas.microsoft.com/office/drawing/2014/chart" uri="{C3380CC4-5D6E-409C-BE32-E72D297353CC}">
                  <c16:uniqueId val="{00000005-7BA5-47AF-A30E-D0B62A8518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gender.!$A$5:$A$8</c:f>
              <c:strCache>
                <c:ptCount val="3"/>
                <c:pt idx="0">
                  <c:v>Female</c:v>
                </c:pt>
                <c:pt idx="1">
                  <c:v>Male</c:v>
                </c:pt>
                <c:pt idx="2">
                  <c:v>Prefer not to say</c:v>
                </c:pt>
              </c:strCache>
            </c:strRef>
          </c:cat>
          <c:val>
            <c:numRef>
              <c:f>gender.!$B$5:$B$8</c:f>
              <c:numCache>
                <c:formatCode>General</c:formatCode>
                <c:ptCount val="3"/>
                <c:pt idx="0">
                  <c:v>67</c:v>
                </c:pt>
                <c:pt idx="1">
                  <c:v>73</c:v>
                </c:pt>
                <c:pt idx="2">
                  <c:v>2</c:v>
                </c:pt>
              </c:numCache>
            </c:numRef>
          </c:val>
          <c:extLst>
            <c:ext xmlns:c16="http://schemas.microsoft.com/office/drawing/2014/chart" uri="{C3380CC4-5D6E-409C-BE32-E72D297353CC}">
              <c16:uniqueId val="{00000006-7BA5-47AF-A30E-D0B62A851864}"/>
            </c:ext>
          </c:extLst>
        </c:ser>
        <c:ser>
          <c:idx val="1"/>
          <c:order val="1"/>
          <c:tx>
            <c:strRef>
              <c:f>gender.!$C$3:$C$4</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518E-4D83-9441-020ED83B3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18E-4D83-9441-020ED83B3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518E-4D83-9441-020ED83B35CD}"/>
              </c:ext>
            </c:extLst>
          </c:dPt>
          <c:cat>
            <c:strRef>
              <c:f>gender.!$A$5:$A$8</c:f>
              <c:strCache>
                <c:ptCount val="3"/>
                <c:pt idx="0">
                  <c:v>Female</c:v>
                </c:pt>
                <c:pt idx="1">
                  <c:v>Male</c:v>
                </c:pt>
                <c:pt idx="2">
                  <c:v>Prefer not to say</c:v>
                </c:pt>
              </c:strCache>
            </c:strRef>
          </c:cat>
          <c:val>
            <c:numRef>
              <c:f>gender.!$C$5:$C$8</c:f>
              <c:numCache>
                <c:formatCode>General</c:formatCode>
                <c:ptCount val="3"/>
                <c:pt idx="0">
                  <c:v>5</c:v>
                </c:pt>
                <c:pt idx="1">
                  <c:v>1</c:v>
                </c:pt>
              </c:numCache>
            </c:numRef>
          </c:val>
          <c:extLst>
            <c:ext xmlns:c16="http://schemas.microsoft.com/office/drawing/2014/chart" uri="{C3380CC4-5D6E-409C-BE32-E72D297353CC}">
              <c16:uniqueId val="{00000040-91CD-40D0-BDF9-06CB748F3BCD}"/>
            </c:ext>
          </c:extLst>
        </c:ser>
        <c:ser>
          <c:idx val="2"/>
          <c:order val="2"/>
          <c:tx>
            <c:strRef>
              <c:f>gender.!$D$3:$D$4</c:f>
              <c:strCache>
                <c:ptCount val="1"/>
                <c:pt idx="0">
                  <c:v>Swiggy Instamart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518E-4D83-9441-020ED83B3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518E-4D83-9441-020ED83B3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518E-4D83-9441-020ED83B35CD}"/>
              </c:ext>
            </c:extLst>
          </c:dPt>
          <c:cat>
            <c:strRef>
              <c:f>gender.!$A$5:$A$8</c:f>
              <c:strCache>
                <c:ptCount val="3"/>
                <c:pt idx="0">
                  <c:v>Female</c:v>
                </c:pt>
                <c:pt idx="1">
                  <c:v>Male</c:v>
                </c:pt>
                <c:pt idx="2">
                  <c:v>Prefer not to say</c:v>
                </c:pt>
              </c:strCache>
            </c:strRef>
          </c:cat>
          <c:val>
            <c:numRef>
              <c:f>gender.!$D$5:$D$8</c:f>
              <c:numCache>
                <c:formatCode>General</c:formatCode>
                <c:ptCount val="3"/>
                <c:pt idx="0">
                  <c:v>23</c:v>
                </c:pt>
                <c:pt idx="1">
                  <c:v>20</c:v>
                </c:pt>
              </c:numCache>
            </c:numRef>
          </c:val>
          <c:extLst>
            <c:ext xmlns:c16="http://schemas.microsoft.com/office/drawing/2014/chart" uri="{C3380CC4-5D6E-409C-BE32-E72D297353CC}">
              <c16:uniqueId val="{00000041-91CD-40D0-BDF9-06CB748F3BCD}"/>
            </c:ext>
          </c:extLst>
        </c:ser>
        <c:ser>
          <c:idx val="3"/>
          <c:order val="3"/>
          <c:tx>
            <c:strRef>
              <c:f>gender.!$E$3:$E$4</c:f>
              <c:strCache>
                <c:ptCount val="1"/>
                <c:pt idx="0">
                  <c:v>Zepto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18E-4D83-9441-020ED83B3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18E-4D83-9441-020ED83B3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18E-4D83-9441-020ED83B35CD}"/>
              </c:ext>
            </c:extLst>
          </c:dPt>
          <c:cat>
            <c:strRef>
              <c:f>gender.!$A$5:$A$8</c:f>
              <c:strCache>
                <c:ptCount val="3"/>
                <c:pt idx="0">
                  <c:v>Female</c:v>
                </c:pt>
                <c:pt idx="1">
                  <c:v>Male</c:v>
                </c:pt>
                <c:pt idx="2">
                  <c:v>Prefer not to say</c:v>
                </c:pt>
              </c:strCache>
            </c:strRef>
          </c:cat>
          <c:val>
            <c:numRef>
              <c:f>gender.!$E$5:$E$8</c:f>
              <c:numCache>
                <c:formatCode>General</c:formatCode>
                <c:ptCount val="3"/>
                <c:pt idx="0">
                  <c:v>17</c:v>
                </c:pt>
                <c:pt idx="1">
                  <c:v>19</c:v>
                </c:pt>
                <c:pt idx="2">
                  <c:v>1</c:v>
                </c:pt>
              </c:numCache>
            </c:numRef>
          </c:val>
          <c:extLst>
            <c:ext xmlns:c16="http://schemas.microsoft.com/office/drawing/2014/chart" uri="{C3380CC4-5D6E-409C-BE32-E72D297353CC}">
              <c16:uniqueId val="{00000042-91CD-40D0-BDF9-06CB748F3BC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[me.xlsx]age!PivotTable1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18-25</c:v>
                </c:pt>
                <c:pt idx="1">
                  <c:v>26-33</c:v>
                </c:pt>
                <c:pt idx="2">
                  <c:v>34-41</c:v>
                </c:pt>
                <c:pt idx="3">
                  <c:v>42-49</c:v>
                </c:pt>
                <c:pt idx="4">
                  <c:v>50 or above</c:v>
                </c:pt>
              </c:strCache>
            </c:strRef>
          </c:cat>
          <c:val>
            <c:numRef>
              <c:f>age!$B$4:$B$9</c:f>
              <c:numCache>
                <c:formatCode>0.00%</c:formatCode>
                <c:ptCount val="5"/>
                <c:pt idx="0">
                  <c:v>4.4247787610619468E-2</c:v>
                </c:pt>
                <c:pt idx="1">
                  <c:v>0.15044247787610621</c:v>
                </c:pt>
                <c:pt idx="2">
                  <c:v>0.17699115044247787</c:v>
                </c:pt>
                <c:pt idx="3">
                  <c:v>0.18584070796460178</c:v>
                </c:pt>
                <c:pt idx="4">
                  <c:v>0.44247787610619471</c:v>
                </c:pt>
              </c:numCache>
            </c:numRef>
          </c:val>
          <c:extLst>
            <c:ext xmlns:c16="http://schemas.microsoft.com/office/drawing/2014/chart" uri="{C3380CC4-5D6E-409C-BE32-E72D297353CC}">
              <c16:uniqueId val="{00000000-BA73-4633-9EB5-5CF15B1BEDAC}"/>
            </c:ext>
          </c:extLst>
        </c:ser>
        <c:dLbls>
          <c:showLegendKey val="0"/>
          <c:showVal val="1"/>
          <c:showCatName val="0"/>
          <c:showSerName val="0"/>
          <c:showPercent val="0"/>
          <c:showBubbleSize val="0"/>
        </c:dLbls>
        <c:gapWidth val="150"/>
        <c:shape val="box"/>
        <c:axId val="1365535328"/>
        <c:axId val="1365540608"/>
        <c:axId val="0"/>
      </c:bar3DChart>
      <c:catAx>
        <c:axId val="1365535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Interval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0608"/>
        <c:crosses val="autoZero"/>
        <c:auto val="1"/>
        <c:lblAlgn val="ctr"/>
        <c:lblOffset val="100"/>
        <c:noMultiLvlLbl val="0"/>
      </c:catAx>
      <c:valAx>
        <c:axId val="136554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Respondents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3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[me.xlsx]Education!PivotTable2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Education!$B$3</c:f>
              <c:strCache>
                <c:ptCount val="1"/>
                <c:pt idx="0">
                  <c:v>Total</c:v>
                </c:pt>
              </c:strCache>
            </c:strRef>
          </c:tx>
          <c:spPr>
            <a:solidFill>
              <a:schemeClr val="accent1"/>
            </a:solidFill>
            <a:ln>
              <a:noFill/>
            </a:ln>
            <a:effectLst/>
            <a:sp3d/>
          </c:spPr>
          <c:invertIfNegative val="0"/>
          <c:dLbls>
            <c:spP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School Level</c:v>
                </c:pt>
                <c:pt idx="1">
                  <c:v>Undergraduate</c:v>
                </c:pt>
                <c:pt idx="2">
                  <c:v>Postgraduate</c:v>
                </c:pt>
                <c:pt idx="3">
                  <c:v>Professional Degree</c:v>
                </c:pt>
                <c:pt idx="4">
                  <c:v>No Formal Education</c:v>
                </c:pt>
              </c:strCache>
            </c:strRef>
          </c:cat>
          <c:val>
            <c:numRef>
              <c:f>Education!$B$4:$B$9</c:f>
              <c:numCache>
                <c:formatCode>0.00%</c:formatCode>
                <c:ptCount val="5"/>
                <c:pt idx="0">
                  <c:v>4.8245614035087717E-2</c:v>
                </c:pt>
                <c:pt idx="1">
                  <c:v>0.32456140350877194</c:v>
                </c:pt>
                <c:pt idx="2">
                  <c:v>0.39912280701754388</c:v>
                </c:pt>
                <c:pt idx="3">
                  <c:v>0.20614035087719298</c:v>
                </c:pt>
                <c:pt idx="4">
                  <c:v>2.1929824561403508E-2</c:v>
                </c:pt>
              </c:numCache>
            </c:numRef>
          </c:val>
          <c:extLst>
            <c:ext xmlns:c16="http://schemas.microsoft.com/office/drawing/2014/chart" uri="{C3380CC4-5D6E-409C-BE32-E72D297353CC}">
              <c16:uniqueId val="{00000000-3263-4139-97B9-2B3C9E56D4ED}"/>
            </c:ext>
          </c:extLst>
        </c:ser>
        <c:dLbls>
          <c:showLegendKey val="0"/>
          <c:showVal val="1"/>
          <c:showCatName val="0"/>
          <c:showSerName val="0"/>
          <c:showPercent val="0"/>
          <c:showBubbleSize val="0"/>
        </c:dLbls>
        <c:gapWidth val="150"/>
        <c:shape val="box"/>
        <c:axId val="1517437024"/>
        <c:axId val="1517439424"/>
        <c:axId val="0"/>
      </c:bar3DChart>
      <c:catAx>
        <c:axId val="151743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9424"/>
        <c:crosses val="autoZero"/>
        <c:auto val="1"/>
        <c:lblAlgn val="ctr"/>
        <c:lblOffset val="100"/>
        <c:noMultiLvlLbl val="0"/>
      </c:catAx>
      <c:valAx>
        <c:axId val="151743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[me.xlsx]occupation!PivotTable3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 of Respondents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occupation!$B$3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occupation!$A$4:$A$9</c:f>
              <c:strCache>
                <c:ptCount val="5"/>
                <c:pt idx="0">
                  <c:v>Student</c:v>
                </c:pt>
                <c:pt idx="1">
                  <c:v>Self-employed</c:v>
                </c:pt>
                <c:pt idx="2">
                  <c:v>Working professional</c:v>
                </c:pt>
                <c:pt idx="3">
                  <c:v>Homemaker</c:v>
                </c:pt>
                <c:pt idx="4">
                  <c:v>Retired</c:v>
                </c:pt>
              </c:strCache>
            </c:strRef>
          </c:cat>
          <c:val>
            <c:numRef>
              <c:f>occupation!$B$4:$B$9</c:f>
              <c:numCache>
                <c:formatCode>0.00%</c:formatCode>
                <c:ptCount val="5"/>
                <c:pt idx="0">
                  <c:v>0.21929824561403508</c:v>
                </c:pt>
                <c:pt idx="1">
                  <c:v>0.23684210526315788</c:v>
                </c:pt>
                <c:pt idx="2">
                  <c:v>0.39912280701754388</c:v>
                </c:pt>
                <c:pt idx="3">
                  <c:v>0.11403508771929824</c:v>
                </c:pt>
                <c:pt idx="4">
                  <c:v>3.0701754385964911E-2</c:v>
                </c:pt>
              </c:numCache>
            </c:numRef>
          </c:val>
          <c:extLst>
            <c:ext xmlns:c16="http://schemas.microsoft.com/office/drawing/2014/chart" uri="{C3380CC4-5D6E-409C-BE32-E72D297353CC}">
              <c16:uniqueId val="{00000000-66F7-41C6-B949-828C1E4DCB4E}"/>
            </c:ext>
          </c:extLst>
        </c:ser>
        <c:dLbls>
          <c:showLegendKey val="0"/>
          <c:showVal val="1"/>
          <c:showCatName val="0"/>
          <c:showSerName val="0"/>
          <c:showPercent val="0"/>
          <c:showBubbleSize val="0"/>
        </c:dLbls>
        <c:gapWidth val="150"/>
        <c:shape val="box"/>
        <c:axId val="1508496848"/>
        <c:axId val="1517437504"/>
        <c:axId val="0"/>
      </c:bar3DChart>
      <c:catAx>
        <c:axId val="1508496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37504"/>
        <c:crosses val="autoZero"/>
        <c:auto val="1"/>
        <c:lblAlgn val="ctr"/>
        <c:lblOffset val="100"/>
        <c:noMultiLvlLbl val="0"/>
      </c:catAx>
      <c:valAx>
        <c:axId val="1517437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9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[me.xlsx]income!PivotTable4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income!$B$3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income!$A$4:$A$9</c:f>
              <c:strCache>
                <c:ptCount val="5"/>
                <c:pt idx="0">
                  <c:v>Below ₹20,000</c:v>
                </c:pt>
                <c:pt idx="1">
                  <c:v>₹20,000 - ₹40,000</c:v>
                </c:pt>
                <c:pt idx="2">
                  <c:v>₹40,000 - ₹60,000</c:v>
                </c:pt>
                <c:pt idx="3">
                  <c:v>₹60,000 - ₹1,00,000</c:v>
                </c:pt>
                <c:pt idx="4">
                  <c:v>Above ₹1,00,000</c:v>
                </c:pt>
              </c:strCache>
            </c:strRef>
          </c:cat>
          <c:val>
            <c:numRef>
              <c:f>income!$B$4:$B$9</c:f>
              <c:numCache>
                <c:formatCode>0.00%</c:formatCode>
                <c:ptCount val="5"/>
                <c:pt idx="0">
                  <c:v>4.3859649122807015E-2</c:v>
                </c:pt>
                <c:pt idx="1">
                  <c:v>0.20175438596491227</c:v>
                </c:pt>
                <c:pt idx="2">
                  <c:v>0.26315789473684209</c:v>
                </c:pt>
                <c:pt idx="3">
                  <c:v>0.19298245614035087</c:v>
                </c:pt>
                <c:pt idx="4">
                  <c:v>0.2982456140350877</c:v>
                </c:pt>
              </c:numCache>
            </c:numRef>
          </c:val>
          <c:extLst>
            <c:ext xmlns:c16="http://schemas.microsoft.com/office/drawing/2014/chart" uri="{C3380CC4-5D6E-409C-BE32-E72D297353CC}">
              <c16:uniqueId val="{00000000-E1D6-4DA8-AB8D-B7775DD2CD23}"/>
            </c:ext>
          </c:extLst>
        </c:ser>
        <c:dLbls>
          <c:showLegendKey val="0"/>
          <c:showVal val="1"/>
          <c:showCatName val="0"/>
          <c:showSerName val="0"/>
          <c:showPercent val="0"/>
          <c:showBubbleSize val="0"/>
        </c:dLbls>
        <c:gapWidth val="150"/>
        <c:shape val="box"/>
        <c:axId val="1486206528"/>
        <c:axId val="1486205088"/>
        <c:axId val="0"/>
      </c:bar3DChart>
      <c:catAx>
        <c:axId val="14862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5088"/>
        <c:crosses val="autoZero"/>
        <c:auto val="1"/>
        <c:lblAlgn val="ctr"/>
        <c:lblOffset val="100"/>
        <c:noMultiLvlLbl val="0"/>
      </c:catAx>
      <c:valAx>
        <c:axId val="1486205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0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0.xml"/><Relationship Id="rId5" Type="http://schemas.openxmlformats.org/officeDocument/2006/relationships/image" Target="../media/image2.svg"/><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2.sv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1.png"/><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361950</xdr:colOff>
      <xdr:row>2</xdr:row>
      <xdr:rowOff>6350</xdr:rowOff>
    </xdr:from>
    <xdr:to>
      <xdr:col>9</xdr:col>
      <xdr:colOff>152400</xdr:colOff>
      <xdr:row>18</xdr:row>
      <xdr:rowOff>9525</xdr:rowOff>
    </xdr:to>
    <xdr:graphicFrame macro="">
      <xdr:nvGraphicFramePr>
        <xdr:cNvPr id="2" name="Chart 1">
          <a:extLst>
            <a:ext uri="{FF2B5EF4-FFF2-40B4-BE49-F238E27FC236}">
              <a16:creationId xmlns:a16="http://schemas.microsoft.com/office/drawing/2014/main" id="{54EAA3BD-FC99-AD34-FF2B-EBD1F0F8D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260350</xdr:colOff>
      <xdr:row>11</xdr:row>
      <xdr:rowOff>158750</xdr:rowOff>
    </xdr:from>
    <xdr:to>
      <xdr:col>11</xdr:col>
      <xdr:colOff>177800</xdr:colOff>
      <xdr:row>28</xdr:row>
      <xdr:rowOff>76200</xdr:rowOff>
    </xdr:to>
    <xdr:graphicFrame macro="">
      <xdr:nvGraphicFramePr>
        <xdr:cNvPr id="2" name="Chart 1">
          <a:extLst>
            <a:ext uri="{FF2B5EF4-FFF2-40B4-BE49-F238E27FC236}">
              <a16:creationId xmlns:a16="http://schemas.microsoft.com/office/drawing/2014/main" id="{1CE01603-8262-21D3-1890-8EB295605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314325</xdr:colOff>
      <xdr:row>11</xdr:row>
      <xdr:rowOff>120650</xdr:rowOff>
    </xdr:from>
    <xdr:to>
      <xdr:col>12</xdr:col>
      <xdr:colOff>9525</xdr:colOff>
      <xdr:row>26</xdr:row>
      <xdr:rowOff>101600</xdr:rowOff>
    </xdr:to>
    <xdr:graphicFrame macro="">
      <xdr:nvGraphicFramePr>
        <xdr:cNvPr id="2" name="Chart 1">
          <a:extLst>
            <a:ext uri="{FF2B5EF4-FFF2-40B4-BE49-F238E27FC236}">
              <a16:creationId xmlns:a16="http://schemas.microsoft.com/office/drawing/2014/main" id="{65472B28-3663-91F8-F258-D95C66DE6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203200</xdr:colOff>
      <xdr:row>10</xdr:row>
      <xdr:rowOff>158750</xdr:rowOff>
    </xdr:from>
    <xdr:to>
      <xdr:col>7</xdr:col>
      <xdr:colOff>25400</xdr:colOff>
      <xdr:row>26</xdr:row>
      <xdr:rowOff>12700</xdr:rowOff>
    </xdr:to>
    <xdr:graphicFrame macro="">
      <xdr:nvGraphicFramePr>
        <xdr:cNvPr id="2" name="Chart 1">
          <a:extLst>
            <a:ext uri="{FF2B5EF4-FFF2-40B4-BE49-F238E27FC236}">
              <a16:creationId xmlns:a16="http://schemas.microsoft.com/office/drawing/2014/main" id="{0ED7E9DC-5260-2E4B-F882-FEC9DC39B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63500</xdr:colOff>
      <xdr:row>11</xdr:row>
      <xdr:rowOff>38100</xdr:rowOff>
    </xdr:from>
    <xdr:to>
      <xdr:col>10</xdr:col>
      <xdr:colOff>25400</xdr:colOff>
      <xdr:row>29</xdr:row>
      <xdr:rowOff>114300</xdr:rowOff>
    </xdr:to>
    <xdr:graphicFrame macro="">
      <xdr:nvGraphicFramePr>
        <xdr:cNvPr id="2" name="Chart 1">
          <a:extLst>
            <a:ext uri="{FF2B5EF4-FFF2-40B4-BE49-F238E27FC236}">
              <a16:creationId xmlns:a16="http://schemas.microsoft.com/office/drawing/2014/main" id="{D5ED9BBC-4914-6C3A-C506-FDEAD6E7F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25400</xdr:colOff>
      <xdr:row>11</xdr:row>
      <xdr:rowOff>130175</xdr:rowOff>
    </xdr:from>
    <xdr:to>
      <xdr:col>9</xdr:col>
      <xdr:colOff>495300</xdr:colOff>
      <xdr:row>26</xdr:row>
      <xdr:rowOff>111125</xdr:rowOff>
    </xdr:to>
    <xdr:graphicFrame macro="">
      <xdr:nvGraphicFramePr>
        <xdr:cNvPr id="2" name="Chart 1">
          <a:extLst>
            <a:ext uri="{FF2B5EF4-FFF2-40B4-BE49-F238E27FC236}">
              <a16:creationId xmlns:a16="http://schemas.microsoft.com/office/drawing/2014/main" id="{40DE1BCB-D7EB-3349-2C46-EC4AEABE1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565150</xdr:colOff>
      <xdr:row>5</xdr:row>
      <xdr:rowOff>50800</xdr:rowOff>
    </xdr:from>
    <xdr:to>
      <xdr:col>14</xdr:col>
      <xdr:colOff>518350</xdr:colOff>
      <xdr:row>20</xdr:row>
      <xdr:rowOff>21800</xdr:rowOff>
    </xdr:to>
    <xdr:graphicFrame macro="">
      <xdr:nvGraphicFramePr>
        <xdr:cNvPr id="3" name="Chart 2">
          <a:extLst>
            <a:ext uri="{FF2B5EF4-FFF2-40B4-BE49-F238E27FC236}">
              <a16:creationId xmlns:a16="http://schemas.microsoft.com/office/drawing/2014/main" id="{FFA132F7-8BD1-4E8E-AF4D-6FA0E5765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565150</xdr:colOff>
      <xdr:row>20</xdr:row>
      <xdr:rowOff>44450</xdr:rowOff>
    </xdr:from>
    <xdr:to>
      <xdr:col>14</xdr:col>
      <xdr:colOff>518350</xdr:colOff>
      <xdr:row>35</xdr:row>
      <xdr:rowOff>21800</xdr:rowOff>
    </xdr:to>
    <xdr:graphicFrame macro="">
      <xdr:nvGraphicFramePr>
        <xdr:cNvPr id="5" name="Chart 4">
          <a:extLst>
            <a:ext uri="{FF2B5EF4-FFF2-40B4-BE49-F238E27FC236}">
              <a16:creationId xmlns:a16="http://schemas.microsoft.com/office/drawing/2014/main" id="{45785BEF-EB4D-4DB8-AA92-4E60D0D0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0</xdr:row>
      <xdr:rowOff>44450</xdr:rowOff>
    </xdr:from>
    <xdr:to>
      <xdr:col>14</xdr:col>
      <xdr:colOff>533400</xdr:colOff>
      <xdr:row>5</xdr:row>
      <xdr:rowOff>19050</xdr:rowOff>
    </xdr:to>
    <xdr:sp macro="" textlink="">
      <xdr:nvSpPr>
        <xdr:cNvPr id="6" name="TextBox 5">
          <a:extLst>
            <a:ext uri="{FF2B5EF4-FFF2-40B4-BE49-F238E27FC236}">
              <a16:creationId xmlns:a16="http://schemas.microsoft.com/office/drawing/2014/main" id="{1EF7268C-A25C-4630-94C7-A3283B2FAE1D}"/>
            </a:ext>
          </a:extLst>
        </xdr:cNvPr>
        <xdr:cNvSpPr txBox="1"/>
      </xdr:nvSpPr>
      <xdr:spPr>
        <a:xfrm>
          <a:off x="19050" y="44450"/>
          <a:ext cx="915035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2800" b="1" cap="none" spc="0">
              <a:ln/>
              <a:solidFill>
                <a:schemeClr val="accent4"/>
              </a:solidFill>
              <a:effectLst/>
              <a:latin typeface="+mn-lt"/>
              <a:ea typeface="+mn-ea"/>
              <a:cs typeface="+mn-cs"/>
            </a:rPr>
            <a:t>Objective</a:t>
          </a:r>
          <a:r>
            <a:rPr lang="en-IN" sz="2400" b="1" cap="none" spc="0">
              <a:ln/>
              <a:solidFill>
                <a:schemeClr val="accent4"/>
              </a:solidFill>
              <a:effectLst/>
            </a:rPr>
            <a:t> - 2</a:t>
          </a:r>
          <a:endParaRPr lang="en-IN" sz="3200" b="1" cap="none" spc="0">
            <a:ln/>
            <a:solidFill>
              <a:schemeClr val="accent4"/>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a:solidFill>
                <a:schemeClr val="accent1"/>
              </a:solidFill>
              <a:effectLst/>
              <a:latin typeface="+mn-lt"/>
              <a:ea typeface="+mn-ea"/>
              <a:cs typeface="+mn-cs"/>
            </a:rPr>
            <a:t>To understand consumer adoption patterns based on demographics.</a:t>
          </a:r>
          <a:endParaRPr lang="en-IN" sz="4000" b="1" cap="none" spc="0">
            <a:ln/>
            <a:solidFill>
              <a:schemeClr val="accent1"/>
            </a:solidFill>
            <a:effectLst/>
          </a:endParaRPr>
        </a:p>
        <a:p>
          <a:endParaRPr lang="en-IN" sz="2800" b="1" cap="none" spc="0">
            <a:ln/>
            <a:solidFill>
              <a:schemeClr val="accent4"/>
            </a:solidFill>
            <a:effectLst/>
          </a:endParaRPr>
        </a:p>
      </xdr:txBody>
    </xdr:sp>
    <xdr:clientData/>
  </xdr:twoCellAnchor>
  <xdr:twoCellAnchor editAs="oneCell">
    <xdr:from>
      <xdr:col>0</xdr:col>
      <xdr:colOff>12700</xdr:colOff>
      <xdr:row>21</xdr:row>
      <xdr:rowOff>12700</xdr:rowOff>
    </xdr:from>
    <xdr:to>
      <xdr:col>2</xdr:col>
      <xdr:colOff>565150</xdr:colOff>
      <xdr:row>29</xdr:row>
      <xdr:rowOff>63500</xdr:rowOff>
    </xdr:to>
    <mc:AlternateContent xmlns:mc="http://schemas.openxmlformats.org/markup-compatibility/2006" xmlns:a14="http://schemas.microsoft.com/office/drawing/2010/main">
      <mc:Choice Requires="a14">
        <xdr:graphicFrame macro="">
          <xdr:nvGraphicFramePr>
            <xdr:cNvPr id="8" name="App_Used">
              <a:extLst>
                <a:ext uri="{FF2B5EF4-FFF2-40B4-BE49-F238E27FC236}">
                  <a16:creationId xmlns:a16="http://schemas.microsoft.com/office/drawing/2014/main" id="{4859644C-40F1-3414-25B0-2711B18EE3AB}"/>
                </a:ext>
              </a:extLst>
            </xdr:cNvPr>
            <xdr:cNvGraphicFramePr/>
          </xdr:nvGraphicFramePr>
          <xdr:xfrm>
            <a:off x="0" y="0"/>
            <a:ext cx="0" cy="0"/>
          </xdr:xfrm>
          <a:graphic>
            <a:graphicData uri="http://schemas.microsoft.com/office/drawing/2010/slicer">
              <sle:slicer xmlns:sle="http://schemas.microsoft.com/office/drawing/2010/slicer" name="App_Used"/>
            </a:graphicData>
          </a:graphic>
        </xdr:graphicFrame>
      </mc:Choice>
      <mc:Fallback xmlns="">
        <xdr:sp macro="" textlink="">
          <xdr:nvSpPr>
            <xdr:cNvPr id="0" name=""/>
            <xdr:cNvSpPr>
              <a:spLocks noTextEdit="1"/>
            </xdr:cNvSpPr>
          </xdr:nvSpPr>
          <xdr:spPr>
            <a:xfrm>
              <a:off x="12700" y="3524250"/>
              <a:ext cx="187325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14</xdr:row>
      <xdr:rowOff>165100</xdr:rowOff>
    </xdr:from>
    <xdr:to>
      <xdr:col>2</xdr:col>
      <xdr:colOff>565150</xdr:colOff>
      <xdr:row>20</xdr:row>
      <xdr:rowOff>139700</xdr:rowOff>
    </xdr:to>
    <mc:AlternateContent xmlns:mc="http://schemas.openxmlformats.org/markup-compatibility/2006" xmlns:a14="http://schemas.microsoft.com/office/drawing/2010/main">
      <mc:Choice Requires="a14">
        <xdr:graphicFrame macro="">
          <xdr:nvGraphicFramePr>
            <xdr:cNvPr id="9" name="Used_QC 1">
              <a:extLst>
                <a:ext uri="{FF2B5EF4-FFF2-40B4-BE49-F238E27FC236}">
                  <a16:creationId xmlns:a16="http://schemas.microsoft.com/office/drawing/2014/main" id="{BC3A6A6F-5B2E-5AC4-26BE-7BD5BBFD0D4C}"/>
                </a:ext>
              </a:extLst>
            </xdr:cNvPr>
            <xdr:cNvGraphicFramePr/>
          </xdr:nvGraphicFramePr>
          <xdr:xfrm>
            <a:off x="0" y="0"/>
            <a:ext cx="0" cy="0"/>
          </xdr:xfrm>
          <a:graphic>
            <a:graphicData uri="http://schemas.microsoft.com/office/drawing/2010/slicer">
              <sle:slicer xmlns:sle="http://schemas.microsoft.com/office/drawing/2010/slicer" name="Used_QC 1"/>
            </a:graphicData>
          </a:graphic>
        </xdr:graphicFrame>
      </mc:Choice>
      <mc:Fallback xmlns="">
        <xdr:sp macro="" textlink="">
          <xdr:nvSpPr>
            <xdr:cNvPr id="0" name=""/>
            <xdr:cNvSpPr>
              <a:spLocks noTextEdit="1"/>
            </xdr:cNvSpPr>
          </xdr:nvSpPr>
          <xdr:spPr>
            <a:xfrm>
              <a:off x="25400" y="2387600"/>
              <a:ext cx="1860550" cy="1079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603250</xdr:colOff>
      <xdr:row>20</xdr:row>
      <xdr:rowOff>50800</xdr:rowOff>
    </xdr:from>
    <xdr:to>
      <xdr:col>8</xdr:col>
      <xdr:colOff>556450</xdr:colOff>
      <xdr:row>35</xdr:row>
      <xdr:rowOff>35350</xdr:rowOff>
    </xdr:to>
    <xdr:graphicFrame macro="">
      <xdr:nvGraphicFramePr>
        <xdr:cNvPr id="10" name="Chart 9">
          <a:extLst>
            <a:ext uri="{FF2B5EF4-FFF2-40B4-BE49-F238E27FC236}">
              <a16:creationId xmlns:a16="http://schemas.microsoft.com/office/drawing/2014/main" id="{4DEA9009-4FBF-4CF1-8051-22BCC7CE5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82550</xdr:colOff>
      <xdr:row>6</xdr:row>
      <xdr:rowOff>171721</xdr:rowOff>
    </xdr:from>
    <xdr:to>
      <xdr:col>1</xdr:col>
      <xdr:colOff>286718</xdr:colOff>
      <xdr:row>14</xdr:row>
      <xdr:rowOff>92694</xdr:rowOff>
    </xdr:to>
    <xdr:pic>
      <xdr:nvPicPr>
        <xdr:cNvPr id="4" name="Graphic 3" descr="Users with solid fill">
          <a:extLst>
            <a:ext uri="{FF2B5EF4-FFF2-40B4-BE49-F238E27FC236}">
              <a16:creationId xmlns:a16="http://schemas.microsoft.com/office/drawing/2014/main" id="{90DB225F-A638-45CF-8014-FB7594DD90C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550" y="908321"/>
          <a:ext cx="915368" cy="1406873"/>
        </a:xfrm>
        <a:prstGeom prst="rect">
          <a:avLst/>
        </a:prstGeom>
      </xdr:spPr>
    </xdr:pic>
    <xdr:clientData/>
  </xdr:twoCellAnchor>
  <xdr:twoCellAnchor>
    <xdr:from>
      <xdr:col>0</xdr:col>
      <xdr:colOff>85493</xdr:colOff>
      <xdr:row>5</xdr:row>
      <xdr:rowOff>136138</xdr:rowOff>
    </xdr:from>
    <xdr:to>
      <xdr:col>2</xdr:col>
      <xdr:colOff>539750</xdr:colOff>
      <xdr:row>8</xdr:row>
      <xdr:rowOff>107225</xdr:rowOff>
    </xdr:to>
    <xdr:sp macro="" textlink="">
      <xdr:nvSpPr>
        <xdr:cNvPr id="7" name="TextBox 6">
          <a:extLst>
            <a:ext uri="{FF2B5EF4-FFF2-40B4-BE49-F238E27FC236}">
              <a16:creationId xmlns:a16="http://schemas.microsoft.com/office/drawing/2014/main" id="{2797DD0E-FF89-4CA6-9EB3-FCE7D4DA46B3}"/>
            </a:ext>
          </a:extLst>
        </xdr:cNvPr>
        <xdr:cNvSpPr txBox="1"/>
      </xdr:nvSpPr>
      <xdr:spPr>
        <a:xfrm>
          <a:off x="85493" y="688588"/>
          <a:ext cx="1775057" cy="5235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No.</a:t>
          </a:r>
          <a:r>
            <a:rPr lang="en-IN" sz="1600" b="1" baseline="0">
              <a:solidFill>
                <a:schemeClr val="tx1"/>
              </a:solidFill>
            </a:rPr>
            <a:t> of Users</a:t>
          </a:r>
        </a:p>
      </xdr:txBody>
    </xdr:sp>
    <xdr:clientData/>
  </xdr:twoCellAnchor>
  <xdr:twoCellAnchor>
    <xdr:from>
      <xdr:col>0</xdr:col>
      <xdr:colOff>19051</xdr:colOff>
      <xdr:row>5</xdr:row>
      <xdr:rowOff>44450</xdr:rowOff>
    </xdr:from>
    <xdr:to>
      <xdr:col>2</xdr:col>
      <xdr:colOff>558801</xdr:colOff>
      <xdr:row>14</xdr:row>
      <xdr:rowOff>139700</xdr:rowOff>
    </xdr:to>
    <xdr:sp macro="" textlink="">
      <xdr:nvSpPr>
        <xdr:cNvPr id="11" name="Rectangle 10">
          <a:extLst>
            <a:ext uri="{FF2B5EF4-FFF2-40B4-BE49-F238E27FC236}">
              <a16:creationId xmlns:a16="http://schemas.microsoft.com/office/drawing/2014/main" id="{513C7A1B-61BB-4755-9A94-3FA5564D0863}"/>
            </a:ext>
          </a:extLst>
        </xdr:cNvPr>
        <xdr:cNvSpPr/>
      </xdr:nvSpPr>
      <xdr:spPr>
        <a:xfrm>
          <a:off x="19051" y="596900"/>
          <a:ext cx="1860550" cy="176530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571500</xdr:colOff>
      <xdr:row>5</xdr:row>
      <xdr:rowOff>38100</xdr:rowOff>
    </xdr:from>
    <xdr:to>
      <xdr:col>8</xdr:col>
      <xdr:colOff>552450</xdr:colOff>
      <xdr:row>20</xdr:row>
      <xdr:rowOff>57150</xdr:rowOff>
    </xdr:to>
    <xdr:graphicFrame macro="">
      <xdr:nvGraphicFramePr>
        <xdr:cNvPr id="12" name="Chart 11">
          <a:extLst>
            <a:ext uri="{FF2B5EF4-FFF2-40B4-BE49-F238E27FC236}">
              <a16:creationId xmlns:a16="http://schemas.microsoft.com/office/drawing/2014/main" id="{A06F3A65-3D0B-453F-9E23-21845B5A5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730250</xdr:colOff>
      <xdr:row>10</xdr:row>
      <xdr:rowOff>177800</xdr:rowOff>
    </xdr:from>
    <xdr:to>
      <xdr:col>10</xdr:col>
      <xdr:colOff>584200</xdr:colOff>
      <xdr:row>26</xdr:row>
      <xdr:rowOff>9525</xdr:rowOff>
    </xdr:to>
    <xdr:graphicFrame macro="">
      <xdr:nvGraphicFramePr>
        <xdr:cNvPr id="2" name="Chart 1">
          <a:extLst>
            <a:ext uri="{FF2B5EF4-FFF2-40B4-BE49-F238E27FC236}">
              <a16:creationId xmlns:a16="http://schemas.microsoft.com/office/drawing/2014/main" id="{940BC657-720B-9910-13C3-97A6B2CE1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1047750</xdr:colOff>
      <xdr:row>4</xdr:row>
      <xdr:rowOff>98425</xdr:rowOff>
    </xdr:from>
    <xdr:to>
      <xdr:col>9</xdr:col>
      <xdr:colOff>139700</xdr:colOff>
      <xdr:row>19</xdr:row>
      <xdr:rowOff>79375</xdr:rowOff>
    </xdr:to>
    <xdr:graphicFrame macro="">
      <xdr:nvGraphicFramePr>
        <xdr:cNvPr id="2" name="Chart 1">
          <a:extLst>
            <a:ext uri="{FF2B5EF4-FFF2-40B4-BE49-F238E27FC236}">
              <a16:creationId xmlns:a16="http://schemas.microsoft.com/office/drawing/2014/main" id="{DF2261D0-3175-0CA4-C357-F769266F3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476250</xdr:colOff>
      <xdr:row>5</xdr:row>
      <xdr:rowOff>139700</xdr:rowOff>
    </xdr:from>
    <xdr:to>
      <xdr:col>10</xdr:col>
      <xdr:colOff>171450</xdr:colOff>
      <xdr:row>20</xdr:row>
      <xdr:rowOff>120650</xdr:rowOff>
    </xdr:to>
    <xdr:graphicFrame macro="">
      <xdr:nvGraphicFramePr>
        <xdr:cNvPr id="2" name="Chart 1">
          <a:extLst>
            <a:ext uri="{FF2B5EF4-FFF2-40B4-BE49-F238E27FC236}">
              <a16:creationId xmlns:a16="http://schemas.microsoft.com/office/drawing/2014/main" id="{480605FC-4DBC-7F51-994C-6776051D4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1035050</xdr:colOff>
      <xdr:row>4</xdr:row>
      <xdr:rowOff>155575</xdr:rowOff>
    </xdr:from>
    <xdr:to>
      <xdr:col>8</xdr:col>
      <xdr:colOff>114300</xdr:colOff>
      <xdr:row>19</xdr:row>
      <xdr:rowOff>136525</xdr:rowOff>
    </xdr:to>
    <xdr:graphicFrame macro="">
      <xdr:nvGraphicFramePr>
        <xdr:cNvPr id="2" name="Chart 1">
          <a:extLst>
            <a:ext uri="{FF2B5EF4-FFF2-40B4-BE49-F238E27FC236}">
              <a16:creationId xmlns:a16="http://schemas.microsoft.com/office/drawing/2014/main" id="{FC8C0EAA-FE1A-E590-2ADA-ACC134F6E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539750</xdr:colOff>
      <xdr:row>3</xdr:row>
      <xdr:rowOff>130175</xdr:rowOff>
    </xdr:from>
    <xdr:to>
      <xdr:col>10</xdr:col>
      <xdr:colOff>234950</xdr:colOff>
      <xdr:row>18</xdr:row>
      <xdr:rowOff>111125</xdr:rowOff>
    </xdr:to>
    <xdr:graphicFrame macro="">
      <xdr:nvGraphicFramePr>
        <xdr:cNvPr id="2" name="Chart 1">
          <a:extLst>
            <a:ext uri="{FF2B5EF4-FFF2-40B4-BE49-F238E27FC236}">
              <a16:creationId xmlns:a16="http://schemas.microsoft.com/office/drawing/2014/main" id="{90238D1B-94A3-DCE3-4BF0-E5E9DCD7B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107174</xdr:rowOff>
    </xdr:from>
    <xdr:to>
      <xdr:col>4</xdr:col>
      <xdr:colOff>571500</xdr:colOff>
      <xdr:row>33</xdr:row>
      <xdr:rowOff>44924</xdr:rowOff>
    </xdr:to>
    <xdr:graphicFrame macro="">
      <xdr:nvGraphicFramePr>
        <xdr:cNvPr id="2" name="Chart 1">
          <a:extLst>
            <a:ext uri="{FF2B5EF4-FFF2-40B4-BE49-F238E27FC236}">
              <a16:creationId xmlns:a16="http://schemas.microsoft.com/office/drawing/2014/main" id="{5D4B902E-7C86-4CBA-921A-802DBE104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3</xdr:row>
      <xdr:rowOff>177800</xdr:rowOff>
    </xdr:from>
    <xdr:to>
      <xdr:col>10</xdr:col>
      <xdr:colOff>558350</xdr:colOff>
      <xdr:row>18</xdr:row>
      <xdr:rowOff>115550</xdr:rowOff>
    </xdr:to>
    <xdr:graphicFrame macro="">
      <xdr:nvGraphicFramePr>
        <xdr:cNvPr id="3" name="Chart 2">
          <a:extLst>
            <a:ext uri="{FF2B5EF4-FFF2-40B4-BE49-F238E27FC236}">
              <a16:creationId xmlns:a16="http://schemas.microsoft.com/office/drawing/2014/main" id="{4DCCFE07-17AE-4D16-A407-8DDA0145F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18</xdr:row>
      <xdr:rowOff>127000</xdr:rowOff>
    </xdr:from>
    <xdr:to>
      <xdr:col>10</xdr:col>
      <xdr:colOff>558350</xdr:colOff>
      <xdr:row>33</xdr:row>
      <xdr:rowOff>64750</xdr:rowOff>
    </xdr:to>
    <xdr:graphicFrame macro="">
      <xdr:nvGraphicFramePr>
        <xdr:cNvPr id="4" name="Chart 3">
          <a:extLst>
            <a:ext uri="{FF2B5EF4-FFF2-40B4-BE49-F238E27FC236}">
              <a16:creationId xmlns:a16="http://schemas.microsoft.com/office/drawing/2014/main" id="{35A97F0D-12C4-4DDD-85D1-3FC3960E9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565150</xdr:colOff>
      <xdr:row>18</xdr:row>
      <xdr:rowOff>127000</xdr:rowOff>
    </xdr:from>
    <xdr:to>
      <xdr:col>16</xdr:col>
      <xdr:colOff>507550</xdr:colOff>
      <xdr:row>33</xdr:row>
      <xdr:rowOff>64750</xdr:rowOff>
    </xdr:to>
    <xdr:graphicFrame macro="">
      <xdr:nvGraphicFramePr>
        <xdr:cNvPr id="5" name="Chart 4">
          <a:extLst>
            <a:ext uri="{FF2B5EF4-FFF2-40B4-BE49-F238E27FC236}">
              <a16:creationId xmlns:a16="http://schemas.microsoft.com/office/drawing/2014/main" id="{7CA2E92F-1ADE-48B7-861D-859F1CE50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571500</xdr:colOff>
      <xdr:row>3</xdr:row>
      <xdr:rowOff>177800</xdr:rowOff>
    </xdr:from>
    <xdr:to>
      <xdr:col>16</xdr:col>
      <xdr:colOff>495300</xdr:colOff>
      <xdr:row>18</xdr:row>
      <xdr:rowOff>115550</xdr:rowOff>
    </xdr:to>
    <xdr:graphicFrame macro="">
      <xdr:nvGraphicFramePr>
        <xdr:cNvPr id="6" name="Chart 5">
          <a:extLst>
            <a:ext uri="{FF2B5EF4-FFF2-40B4-BE49-F238E27FC236}">
              <a16:creationId xmlns:a16="http://schemas.microsoft.com/office/drawing/2014/main" id="{23D8E3C2-F7A1-4D55-A0B0-02E7E2EDB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30976</xdr:colOff>
      <xdr:row>4</xdr:row>
      <xdr:rowOff>47545</xdr:rowOff>
    </xdr:from>
    <xdr:to>
      <xdr:col>4</xdr:col>
      <xdr:colOff>604025</xdr:colOff>
      <xdr:row>12</xdr:row>
      <xdr:rowOff>30975</xdr:rowOff>
    </xdr:to>
    <mc:AlternateContent xmlns:mc="http://schemas.openxmlformats.org/markup-compatibility/2006" xmlns:a14="http://schemas.microsoft.com/office/drawing/2010/main">
      <mc:Choice Requires="a14">
        <xdr:graphicFrame macro="">
          <xdr:nvGraphicFramePr>
            <xdr:cNvPr id="7" name="Used_QC">
              <a:extLst>
                <a:ext uri="{FF2B5EF4-FFF2-40B4-BE49-F238E27FC236}">
                  <a16:creationId xmlns:a16="http://schemas.microsoft.com/office/drawing/2014/main" id="{D19754F9-7B97-8EF1-45A3-791CCE48E653}"/>
                </a:ext>
              </a:extLst>
            </xdr:cNvPr>
            <xdr:cNvGraphicFramePr/>
          </xdr:nvGraphicFramePr>
          <xdr:xfrm>
            <a:off x="0" y="0"/>
            <a:ext cx="0" cy="0"/>
          </xdr:xfrm>
          <a:graphic>
            <a:graphicData uri="http://schemas.microsoft.com/office/drawing/2010/slicer">
              <sle:slicer xmlns:sle="http://schemas.microsoft.com/office/drawing/2010/slicer" name="Used_QC"/>
            </a:graphicData>
          </a:graphic>
        </xdr:graphicFrame>
      </mc:Choice>
      <mc:Fallback xmlns="">
        <xdr:sp macro="" textlink="">
          <xdr:nvSpPr>
            <xdr:cNvPr id="0" name=""/>
            <xdr:cNvSpPr>
              <a:spLocks noTextEdit="1"/>
            </xdr:cNvSpPr>
          </xdr:nvSpPr>
          <xdr:spPr>
            <a:xfrm>
              <a:off x="30976" y="777795"/>
              <a:ext cx="3081299" cy="1443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38720</xdr:colOff>
      <xdr:row>0</xdr:row>
      <xdr:rowOff>0</xdr:rowOff>
    </xdr:from>
    <xdr:to>
      <xdr:col>16</xdr:col>
      <xdr:colOff>495610</xdr:colOff>
      <xdr:row>3</xdr:row>
      <xdr:rowOff>170365</xdr:rowOff>
    </xdr:to>
    <xdr:sp macro="" textlink="">
      <xdr:nvSpPr>
        <xdr:cNvPr id="8" name="TextBox 7">
          <a:extLst>
            <a:ext uri="{FF2B5EF4-FFF2-40B4-BE49-F238E27FC236}">
              <a16:creationId xmlns:a16="http://schemas.microsoft.com/office/drawing/2014/main" id="{21FD50DE-0078-C18C-B565-F5AC37481D05}"/>
            </a:ext>
          </a:extLst>
        </xdr:cNvPr>
        <xdr:cNvSpPr txBox="1"/>
      </xdr:nvSpPr>
      <xdr:spPr>
        <a:xfrm>
          <a:off x="38720" y="0"/>
          <a:ext cx="10307134" cy="727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3600" b="1" cap="none" spc="0">
              <a:ln/>
              <a:solidFill>
                <a:schemeClr val="accent4"/>
              </a:solidFill>
              <a:effectLst/>
            </a:rPr>
            <a:t>Demographics Data Visualization</a:t>
          </a:r>
        </a:p>
      </xdr:txBody>
    </xdr:sp>
    <xdr:clientData/>
  </xdr:twoCellAnchor>
  <xdr:twoCellAnchor editAs="oneCell">
    <xdr:from>
      <xdr:col>0</xdr:col>
      <xdr:colOff>340731</xdr:colOff>
      <xdr:row>13</xdr:row>
      <xdr:rowOff>178111</xdr:rowOff>
    </xdr:from>
    <xdr:to>
      <xdr:col>1</xdr:col>
      <xdr:colOff>581411</xdr:colOff>
      <xdr:row>18</xdr:row>
      <xdr:rowOff>163243</xdr:rowOff>
    </xdr:to>
    <xdr:pic>
      <xdr:nvPicPr>
        <xdr:cNvPr id="13" name="Graphic 12" descr="Users with solid fill">
          <a:extLst>
            <a:ext uri="{FF2B5EF4-FFF2-40B4-BE49-F238E27FC236}">
              <a16:creationId xmlns:a16="http://schemas.microsoft.com/office/drawing/2014/main" id="{FE5C9A12-4E9B-EC30-9A67-A1D99FE33A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0731" y="2594209"/>
          <a:ext cx="914400" cy="914400"/>
        </a:xfrm>
        <a:prstGeom prst="rect">
          <a:avLst/>
        </a:prstGeom>
      </xdr:spPr>
    </xdr:pic>
    <xdr:clientData/>
  </xdr:twoCellAnchor>
  <xdr:twoCellAnchor>
    <xdr:from>
      <xdr:col>0</xdr:col>
      <xdr:colOff>580793</xdr:colOff>
      <xdr:row>12</xdr:row>
      <xdr:rowOff>77441</xdr:rowOff>
    </xdr:from>
    <xdr:to>
      <xdr:col>4</xdr:col>
      <xdr:colOff>147135</xdr:colOff>
      <xdr:row>14</xdr:row>
      <xdr:rowOff>46466</xdr:rowOff>
    </xdr:to>
    <xdr:sp macro="" textlink="">
      <xdr:nvSpPr>
        <xdr:cNvPr id="26" name="TextBox 25">
          <a:extLst>
            <a:ext uri="{FF2B5EF4-FFF2-40B4-BE49-F238E27FC236}">
              <a16:creationId xmlns:a16="http://schemas.microsoft.com/office/drawing/2014/main" id="{EBB6DB19-3F2A-7410-F8B1-8EA6A69ED91B}"/>
            </a:ext>
          </a:extLst>
        </xdr:cNvPr>
        <xdr:cNvSpPr txBox="1"/>
      </xdr:nvSpPr>
      <xdr:spPr>
        <a:xfrm>
          <a:off x="580793" y="2307685"/>
          <a:ext cx="2075366" cy="3407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No.</a:t>
          </a:r>
          <a:r>
            <a:rPr lang="en-IN" sz="1800" b="1" baseline="0">
              <a:solidFill>
                <a:schemeClr val="tx1"/>
              </a:solidFill>
            </a:rPr>
            <a:t> of Participants</a:t>
          </a:r>
          <a:endParaRPr lang="en-IN" sz="1800" b="1">
            <a:solidFill>
              <a:schemeClr val="tx1"/>
            </a:solidFill>
          </a:endParaRPr>
        </a:p>
      </xdr:txBody>
    </xdr:sp>
    <xdr:clientData/>
  </xdr:twoCellAnchor>
  <xdr:twoCellAnchor>
    <xdr:from>
      <xdr:col>0</xdr:col>
      <xdr:colOff>0</xdr:colOff>
      <xdr:row>12</xdr:row>
      <xdr:rowOff>61952</xdr:rowOff>
    </xdr:from>
    <xdr:to>
      <xdr:col>4</xdr:col>
      <xdr:colOff>596281</xdr:colOff>
      <xdr:row>18</xdr:row>
      <xdr:rowOff>85183</xdr:rowOff>
    </xdr:to>
    <xdr:sp macro="" textlink="">
      <xdr:nvSpPr>
        <xdr:cNvPr id="32" name="Rectangle 31">
          <a:extLst>
            <a:ext uri="{FF2B5EF4-FFF2-40B4-BE49-F238E27FC236}">
              <a16:creationId xmlns:a16="http://schemas.microsoft.com/office/drawing/2014/main" id="{D9709F9C-0389-205B-FA1B-ECEAD79A834E}"/>
            </a:ext>
          </a:extLst>
        </xdr:cNvPr>
        <xdr:cNvSpPr/>
      </xdr:nvSpPr>
      <xdr:spPr>
        <a:xfrm>
          <a:off x="0" y="2292196"/>
          <a:ext cx="3105305" cy="113835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khi" refreshedDate="46050.497345370371" createdVersion="8" refreshedVersion="8" minRefreshableVersion="3" recordCount="341" xr:uid="{823BBB15-F8E1-45C6-A6A2-0C1CA63EE8FB}">
  <cacheSource type="worksheet">
    <worksheetSource name="Table1"/>
  </cacheSource>
  <cacheFields count="59">
    <cacheField name="Age" numFmtId="0">
      <sharedItems containsSemiMixedTypes="0" containsString="0" containsNumber="1" containsInteger="1" minValue="18" maxValue="71"/>
    </cacheField>
    <cacheField name="Age_Group" numFmtId="0">
      <sharedItems count="5">
        <s v="18-25"/>
        <s v="26-33"/>
        <s v="50 or above"/>
        <s v="42-49"/>
        <s v="34-41"/>
      </sharedItems>
    </cacheField>
    <cacheField name="Gender" numFmtId="0">
      <sharedItems count="3">
        <s v="Male"/>
        <s v="Female"/>
        <s v="Prefer not to say"/>
      </sharedItems>
    </cacheField>
    <cacheField name="Education" numFmtId="0">
      <sharedItems count="5">
        <s v="Undergraduate"/>
        <s v="Postgraduate"/>
        <s v="Professional Degree"/>
        <s v="School Level"/>
        <s v="No Formal Education"/>
      </sharedItems>
    </cacheField>
    <cacheField name="Occupation" numFmtId="0">
      <sharedItems count="5">
        <s v="Student"/>
        <s v="Working professional"/>
        <s v="Self-employed"/>
        <s v="Homemaker"/>
        <s v="Retired"/>
      </sharedItems>
    </cacheField>
    <cacheField name="Income" numFmtId="0">
      <sharedItems count="5">
        <s v="Above ₹1,00,000"/>
        <s v="₹40,000 - ₹60,000"/>
        <s v="₹20,000 - ₹40,000"/>
        <s v="₹60,000 - ₹1,00,000"/>
        <s v="Below ₹20,000"/>
      </sharedItems>
    </cacheField>
    <cacheField name="Aware_QC" numFmtId="0">
      <sharedItems/>
    </cacheField>
    <cacheField name="Used_QC" numFmtId="0">
      <sharedItems count="2">
        <s v="Yes"/>
        <s v="No"/>
      </sharedItems>
    </cacheField>
    <cacheField name="Adoption_Status" numFmtId="0">
      <sharedItems containsSemiMixedTypes="0" containsString="0" containsNumber="1" containsInteger="1" minValue="0" maxValue="1"/>
    </cacheField>
    <cacheField name="Column1" numFmtId="0">
      <sharedItems containsBlank="1"/>
    </cacheField>
    <cacheField name="Column2" numFmtId="0">
      <sharedItems containsBlank="1"/>
    </cacheField>
    <cacheField name="Column3" numFmtId="0">
      <sharedItems containsBlank="1"/>
    </cacheField>
    <cacheField name="Column4" numFmtId="0">
      <sharedItems containsBlank="1"/>
    </cacheField>
    <cacheField name="Column5" numFmtId="0">
      <sharedItems containsBlank="1"/>
    </cacheField>
    <cacheField name="Column6" numFmtId="0">
      <sharedItems containsBlank="1"/>
    </cacheField>
    <cacheField name="App_Used" numFmtId="0">
      <sharedItems containsBlank="1" count="5">
        <s v="Blinkit"/>
        <m/>
        <s v="Swiggy Instamart"/>
        <s v="Zepto"/>
        <s v="Other"/>
      </sharedItems>
    </cacheField>
    <cacheField name="How long have you been using Q-Commerce apps?" numFmtId="0">
      <sharedItems containsBlank="1"/>
    </cacheField>
    <cacheField name="average order value" numFmtId="0">
      <sharedItems containsBlank="1"/>
    </cacheField>
    <cacheField name="preferred delivery time" numFmtId="0">
      <sharedItems containsBlank="1"/>
    </cacheField>
    <cacheField name="preferred payment method?" numFmtId="0">
      <sharedItems containsBlank="1"/>
    </cacheField>
    <cacheField name="Col1" numFmtId="0">
      <sharedItems containsBlank="1"/>
    </cacheField>
    <cacheField name="Col2" numFmtId="0">
      <sharedItems containsBlank="1"/>
    </cacheField>
    <cacheField name="Col3" numFmtId="0">
      <sharedItems containsBlank="1"/>
    </cacheField>
    <cacheField name="Col4" numFmtId="0">
      <sharedItems containsBlank="1"/>
    </cacheField>
    <cacheField name="Col5" numFmtId="0">
      <sharedItems containsBlank="1"/>
    </cacheField>
    <cacheField name="Q-commerce apps save my time" numFmtId="0">
      <sharedItems containsBlank="1"/>
    </cacheField>
    <cacheField name="Delivery speed is very convenient" numFmtId="0">
      <sharedItems containsBlank="1"/>
    </cacheField>
    <cacheField name="Discounts influence my usage" numFmtId="0">
      <sharedItems containsBlank="1"/>
    </cacheField>
    <cacheField name="Product variety meets my needs" numFmtId="0">
      <sharedItems containsBlank="1"/>
    </cacheField>
    <cacheField name="Promotional offers attract me" numFmtId="0">
      <sharedItems containsBlank="1"/>
    </cacheField>
    <cacheField name="Apps are easy to navigate" numFmtId="0">
      <sharedItems containsBlank="1"/>
    </cacheField>
    <cacheField name="Urgent needs motivate me to use these apps" numFmtId="0">
      <sharedItems containsBlank="1"/>
    </cacheField>
    <cacheField name="Product quality is reliable" numFmtId="0">
      <sharedItems containsBlank="1"/>
    </cacheField>
    <cacheField name="My work/study schedule makes offline shopping difficult" numFmtId="0">
      <sharedItems containsBlank="1"/>
    </cacheField>
    <cacheField name="Q-commerce fits my lifestyle" numFmtId="0">
      <sharedItems containsBlank="1"/>
    </cacheField>
    <cacheField name="Overall satisfaction with Q-Commerce Apps" numFmtId="0">
      <sharedItems containsString="0" containsBlank="1" containsNumber="1" containsInteger="1" minValue="1" maxValue="5"/>
    </cacheField>
    <cacheField name="Likelihood of continuing usage in the future" numFmtId="0">
      <sharedItems containsString="0" containsBlank="1" containsNumber="1" containsInteger="1" minValue="1" maxValue="5"/>
    </cacheField>
    <cacheField name="likely are you to recommend these apps to Others" numFmtId="0">
      <sharedItems containsString="0" containsBlank="1" containsNumber="1" containsInteger="1" minValue="1" maxValue="5"/>
    </cacheField>
    <cacheField name="biggest reason you prefer Q-commerce apps" numFmtId="0">
      <sharedItems containsBlank="1"/>
    </cacheField>
    <cacheField name="1" numFmtId="0">
      <sharedItems containsBlank="1"/>
    </cacheField>
    <cacheField name="2" numFmtId="0">
      <sharedItems containsBlank="1"/>
    </cacheField>
    <cacheField name="3" numFmtId="0">
      <sharedItems containsBlank="1"/>
    </cacheField>
    <cacheField name="4" numFmtId="0">
      <sharedItems containsBlank="1"/>
    </cacheField>
    <cacheField name="5" numFmtId="0">
      <sharedItems containsBlank="1"/>
    </cacheField>
    <cacheField name="6" numFmtId="0">
      <sharedItems containsBlank="1"/>
    </cacheField>
    <cacheField name="7" numFmtId="0">
      <sharedItems containsBlank="1"/>
    </cacheField>
    <cacheField name="8" numFmtId="0">
      <sharedItems containsBlank="1"/>
    </cacheField>
    <cacheField name="9" numFmtId="0">
      <sharedItems containsBlank="1"/>
    </cacheField>
    <cacheField name="10" numFmtId="0">
      <sharedItems containsBlank="1"/>
    </cacheField>
    <cacheField name="Do you find Q-Commerce apps reliable?" numFmtId="0">
      <sharedItems containsBlank="1"/>
    </cacheField>
    <cacheField name="Are you willing to try Q-Commerce apps in the future?" numFmtId="0">
      <sharedItems containsBlank="1"/>
    </cacheField>
    <cacheField name="Does anyone in your family use Q-Commerce Apps?" numFmtId="0">
      <sharedItems containsBlank="1"/>
    </cacheField>
    <cacheField name="I would consider using Q-commerce if delivery charges were lower" numFmtId="0">
      <sharedItems containsBlank="1"/>
    </cacheField>
    <cacheField name="I would consider using Q-commerce apps if product quality were guaranteed" numFmtId="0">
      <sharedItems containsBlank="1"/>
    </cacheField>
    <cacheField name="I would consider using Q-commerce apps if adequate guidance on app usage were provided" numFmtId="0">
      <sharedItems containsBlank="1"/>
    </cacheField>
    <cacheField name="I would consider using Q-commerce apps if prices were competitive" numFmtId="0">
      <sharedItems containsBlank="1"/>
    </cacheField>
    <cacheField name="I would consider using Q-commerce apps if delivery services were available in my area" numFmtId="0">
      <sharedItems containsBlank="1"/>
    </cacheField>
    <cacheField name="I would consider using Q-commerce apps if attractive discounts were offered" numFmtId="0">
      <sharedItems containsBlank="1"/>
    </cacheField>
    <cacheField name="I would consider using Q-commerce apps if I felt confident about trust, data security, and privacy." numFmtId="0">
      <sharedItems containsBlank="1"/>
    </cacheField>
  </cacheFields>
  <extLst>
    <ext xmlns:x14="http://schemas.microsoft.com/office/spreadsheetml/2009/9/main" uri="{725AE2AE-9491-48be-B2B4-4EB974FC3084}">
      <x14:pivotCacheDefinition pivotCacheId="1136481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1">
  <r>
    <n v="22"/>
    <x v="0"/>
    <x v="0"/>
    <x v="0"/>
    <x v="0"/>
    <x v="0"/>
    <s v="Yes"/>
    <x v="0"/>
    <n v="1"/>
    <s v="Blinkit"/>
    <s v=" Zepto"/>
    <s v=" Swiggy Instamart"/>
    <m/>
    <m/>
    <m/>
    <x v="0"/>
    <s v="More than a year"/>
    <s v="₹400 - ₹600"/>
    <s v="Evening"/>
    <s v="UPI"/>
    <s v="Groceries"/>
    <s v=" Snacks and Beverages"/>
    <s v=" Daily Essentials"/>
    <s v=" Personal Care"/>
    <m/>
    <s v="Strongly Agree"/>
    <s v="Strongly Agree"/>
    <s v="Disagree"/>
    <s v="Agree"/>
    <s v="Disagree"/>
    <s v="Strongly Agree"/>
    <s v="Agree"/>
    <s v="Agree"/>
    <s v="Neutral"/>
    <s v="Agree"/>
    <n v="5"/>
    <n v="5"/>
    <n v="5"/>
    <s v="Convenience"/>
    <s v="Delivery charges are high"/>
    <s v=" Product quality concerns"/>
    <s v=" No need for fast delivery"/>
    <m/>
    <m/>
    <m/>
    <m/>
    <m/>
    <m/>
    <m/>
    <m/>
    <m/>
    <m/>
    <m/>
    <m/>
    <m/>
    <m/>
    <m/>
    <m/>
    <m/>
  </r>
  <r>
    <n v="29"/>
    <x v="1"/>
    <x v="0"/>
    <x v="0"/>
    <x v="1"/>
    <x v="1"/>
    <s v="Yes"/>
    <x v="1"/>
    <n v="0"/>
    <m/>
    <m/>
    <m/>
    <m/>
    <m/>
    <m/>
    <x v="1"/>
    <m/>
    <m/>
    <m/>
    <m/>
    <m/>
    <m/>
    <m/>
    <m/>
    <m/>
    <m/>
    <m/>
    <m/>
    <m/>
    <m/>
    <m/>
    <m/>
    <m/>
    <m/>
    <m/>
    <m/>
    <m/>
    <m/>
    <m/>
    <m/>
    <m/>
    <m/>
    <m/>
    <m/>
    <m/>
    <m/>
    <m/>
    <m/>
    <m/>
    <s v="Yes"/>
    <s v="Yes"/>
    <s v="No"/>
    <s v="Strongly Agree"/>
    <s v="Agree"/>
    <s v="Neutral"/>
    <s v="Strongly Agree"/>
    <s v="Neutral"/>
    <s v="Strongly Agree"/>
    <s v="Strongly Agree"/>
  </r>
  <r>
    <n v="21"/>
    <x v="0"/>
    <x v="1"/>
    <x v="0"/>
    <x v="0"/>
    <x v="2"/>
    <s v="Yes"/>
    <x v="0"/>
    <n v="1"/>
    <s v="Blinkit"/>
    <m/>
    <s v=" Swiggy Instamart"/>
    <m/>
    <m/>
    <m/>
    <x v="2"/>
    <s v="More than a year"/>
    <s v="₹200 - ₹400"/>
    <s v="Evening"/>
    <s v="UPI"/>
    <s v="Groceries"/>
    <s v=" Snacks and Beverages"/>
    <m/>
    <m/>
    <m/>
    <s v="Strongly Agree"/>
    <s v="Strongly Agree"/>
    <s v="Neutral"/>
    <s v="Neutral"/>
    <s v="Disagree"/>
    <s v="Agree"/>
    <s v="Agree"/>
    <s v="Agree"/>
    <s v="Strongly Agree"/>
    <s v="Strongly Agree"/>
    <n v="4"/>
    <n v="5"/>
    <n v="5"/>
    <s v="Convenience"/>
    <m/>
    <m/>
    <m/>
    <m/>
    <m/>
    <m/>
    <m/>
    <m/>
    <m/>
    <m/>
    <m/>
    <m/>
    <m/>
    <m/>
    <m/>
    <m/>
    <m/>
    <m/>
    <m/>
    <m/>
  </r>
  <r>
    <n v="23"/>
    <x v="0"/>
    <x v="0"/>
    <x v="0"/>
    <x v="0"/>
    <x v="2"/>
    <s v="Yes"/>
    <x v="0"/>
    <n v="1"/>
    <s v="Blinkit"/>
    <s v=" Zepto"/>
    <s v=" Swiggy Instamart"/>
    <m/>
    <m/>
    <m/>
    <x v="3"/>
    <s v="More than a year"/>
    <s v="Below ₹200"/>
    <s v="Night"/>
    <s v="UPI"/>
    <m/>
    <s v="Snacks and Beverages"/>
    <m/>
    <m/>
    <m/>
    <s v="Strongly Agree"/>
    <s v="Agree"/>
    <s v="Agree"/>
    <s v="Strongly Agree"/>
    <s v="Agree"/>
    <s v="Agree"/>
    <s v="Neutral"/>
    <s v="Strongly Agree"/>
    <s v="Disagree"/>
    <s v="Strongly Agree"/>
    <n v="5"/>
    <n v="5"/>
    <n v="5"/>
    <s v="Affordable Pricing"/>
    <m/>
    <m/>
    <m/>
    <m/>
    <m/>
    <m/>
    <m/>
    <m/>
    <m/>
    <m/>
    <m/>
    <m/>
    <m/>
    <m/>
    <m/>
    <m/>
    <m/>
    <m/>
    <m/>
    <m/>
  </r>
  <r>
    <n v="22"/>
    <x v="0"/>
    <x v="1"/>
    <x v="0"/>
    <x v="0"/>
    <x v="1"/>
    <s v="Yes"/>
    <x v="0"/>
    <n v="1"/>
    <s v="Blinkit"/>
    <m/>
    <m/>
    <m/>
    <m/>
    <m/>
    <x v="0"/>
    <s v="6-12 months"/>
    <s v="Below ₹200"/>
    <s v="Evening"/>
    <s v="Cash on Delivery"/>
    <m/>
    <s v="Snacks and Beverages"/>
    <s v=" Daily Essentials"/>
    <m/>
    <m/>
    <s v="Strongly Agree"/>
    <s v="Agree"/>
    <s v="Neutral"/>
    <s v="Strongly Agree"/>
    <s v="Disagree"/>
    <s v="Strongly Agree"/>
    <s v="Agree"/>
    <s v="Strongly Agree"/>
    <s v="Strongly Agree"/>
    <s v="Strongly Agree"/>
    <n v="4"/>
    <n v="4"/>
    <n v="5"/>
    <s v="Convenience"/>
    <m/>
    <m/>
    <m/>
    <m/>
    <m/>
    <m/>
    <m/>
    <m/>
    <m/>
    <m/>
    <m/>
    <m/>
    <m/>
    <m/>
    <m/>
    <m/>
    <m/>
    <m/>
    <m/>
    <m/>
  </r>
  <r>
    <n v="22"/>
    <x v="0"/>
    <x v="0"/>
    <x v="0"/>
    <x v="0"/>
    <x v="0"/>
    <s v="Yes"/>
    <x v="0"/>
    <n v="1"/>
    <s v="Blinkit"/>
    <s v=" Zepto"/>
    <s v=" Swiggy Instamart"/>
    <s v=" Big basket "/>
    <m/>
    <m/>
    <x v="0"/>
    <s v="6-12 months"/>
    <s v="₹200 - ₹400"/>
    <s v="Night"/>
    <s v="UPI"/>
    <m/>
    <s v="Snacks and Beverages"/>
    <m/>
    <m/>
    <m/>
    <s v="Agree"/>
    <s v="Neutral"/>
    <s v="Agree"/>
    <s v="Strongly Agree"/>
    <s v="Disagree"/>
    <s v="Neutral"/>
    <s v="Disagree"/>
    <s v="Agree"/>
    <s v="Strongly Disagree"/>
    <s v="Disagree"/>
    <n v="4"/>
    <n v="3"/>
    <n v="3"/>
    <s v="Convenience"/>
    <m/>
    <m/>
    <m/>
    <m/>
    <m/>
    <m/>
    <m/>
    <m/>
    <m/>
    <m/>
    <m/>
    <m/>
    <m/>
    <m/>
    <m/>
    <m/>
    <m/>
    <m/>
    <m/>
    <m/>
  </r>
  <r>
    <n v="20"/>
    <x v="0"/>
    <x v="1"/>
    <x v="0"/>
    <x v="0"/>
    <x v="3"/>
    <s v="Yes"/>
    <x v="0"/>
    <n v="1"/>
    <s v="Blinkit"/>
    <s v=" Zepto"/>
    <s v=" Swiggy Instamart"/>
    <m/>
    <m/>
    <m/>
    <x v="0"/>
    <s v="3-6 months"/>
    <s v="₹200 - ₹400"/>
    <s v="Evening"/>
    <s v="Cash on Delivery"/>
    <s v="Groceries"/>
    <s v=" Snacks and Beverages"/>
    <s v=" Daily Essentials"/>
    <s v=" Personal Care"/>
    <m/>
    <s v="Agree"/>
    <s v="Agree"/>
    <s v="Strongly Agree"/>
    <s v="Neutral"/>
    <s v="Neutral"/>
    <s v="Agree"/>
    <s v="Strongly Agree"/>
    <s v="Agree"/>
    <s v="Neutral"/>
    <s v="Neutral"/>
    <n v="5"/>
    <n v="4"/>
    <n v="4"/>
    <s v="Fast Delivery"/>
    <m/>
    <m/>
    <m/>
    <m/>
    <m/>
    <m/>
    <m/>
    <m/>
    <m/>
    <m/>
    <m/>
    <m/>
    <m/>
    <m/>
    <m/>
    <m/>
    <m/>
    <m/>
    <m/>
    <m/>
  </r>
  <r>
    <n v="30"/>
    <x v="1"/>
    <x v="0"/>
    <x v="1"/>
    <x v="1"/>
    <x v="0"/>
    <s v="Yes"/>
    <x v="0"/>
    <n v="1"/>
    <s v="Blinkit"/>
    <s v=" Zepto"/>
    <s v=" Swiggy Instamart"/>
    <m/>
    <m/>
    <m/>
    <x v="0"/>
    <s v="More than a year"/>
    <s v="₹200 - ₹400"/>
    <s v="Evening"/>
    <s v="UPI"/>
    <s v="Groceries"/>
    <s v=" Snacks and Beverages"/>
    <s v=" Daily Essentials"/>
    <s v=" Personal Care"/>
    <m/>
    <s v="Strongly Agree"/>
    <s v="Strongly Agree"/>
    <s v="Neutral"/>
    <s v="Agree"/>
    <s v="Agree"/>
    <s v="Strongly Agree"/>
    <s v="Strongly Agree"/>
    <s v="Strongly Agree"/>
    <s v="Strongly Agree"/>
    <s v="Strongly Agree"/>
    <n v="5"/>
    <n v="5"/>
    <n v="5"/>
    <s v="Convenience"/>
    <m/>
    <m/>
    <m/>
    <m/>
    <m/>
    <m/>
    <m/>
    <m/>
    <m/>
    <m/>
    <m/>
    <m/>
    <m/>
    <m/>
    <m/>
    <m/>
    <m/>
    <m/>
    <m/>
    <m/>
  </r>
  <r>
    <n v="23"/>
    <x v="0"/>
    <x v="0"/>
    <x v="0"/>
    <x v="0"/>
    <x v="0"/>
    <s v="Yes"/>
    <x v="0"/>
    <n v="1"/>
    <s v="Blinkit"/>
    <s v=" Zepto"/>
    <s v=" Swiggy Instamart"/>
    <m/>
    <m/>
    <m/>
    <x v="0"/>
    <s v="More than a year"/>
    <s v="₹200 - ₹400"/>
    <s v="Night"/>
    <s v="UPI"/>
    <s v="Groceries"/>
    <s v=" Snacks and Beverages"/>
    <s v=" Daily Essentials"/>
    <s v=" Personal Care"/>
    <m/>
    <s v="Agree"/>
    <s v="Strongly Agree"/>
    <s v="Strongly Agree"/>
    <s v="Neutral"/>
    <s v="Neutral"/>
    <s v="Agree"/>
    <s v="Agree"/>
    <s v="Strongly Agree"/>
    <s v="Disagree"/>
    <s v="Agree"/>
    <n v="4"/>
    <n v="5"/>
    <n v="4"/>
    <s v="Convenience"/>
    <m/>
    <m/>
    <m/>
    <m/>
    <m/>
    <m/>
    <m/>
    <m/>
    <m/>
    <m/>
    <m/>
    <m/>
    <m/>
    <m/>
    <m/>
    <m/>
    <m/>
    <m/>
    <m/>
    <m/>
  </r>
  <r>
    <n v="30"/>
    <x v="1"/>
    <x v="1"/>
    <x v="1"/>
    <x v="1"/>
    <x v="1"/>
    <s v="Yes"/>
    <x v="0"/>
    <n v="1"/>
    <s v="Blinkit"/>
    <s v=" Zepto"/>
    <s v=" Swiggy Instamart"/>
    <m/>
    <s v=" Porter"/>
    <m/>
    <x v="0"/>
    <s v="More than a year"/>
    <s v="₹200 - ₹400"/>
    <s v="Morning"/>
    <s v="UPI"/>
    <s v="Groceries"/>
    <s v=" Snacks and Beverages"/>
    <s v=" Daily Essentials"/>
    <s v=" Personal Care"/>
    <s v=" Medicines"/>
    <s v="Agree"/>
    <s v="Agree"/>
    <s v="Disagree"/>
    <s v="Neutral"/>
    <s v="Neutral"/>
    <s v="Agree"/>
    <s v="Neutral"/>
    <s v="Neutral"/>
    <s v="Neutral"/>
    <s v="Neutral"/>
    <n v="3"/>
    <n v="4"/>
    <n v="4"/>
    <s v="Fast Delivery"/>
    <m/>
    <m/>
    <m/>
    <m/>
    <m/>
    <m/>
    <m/>
    <m/>
    <m/>
    <m/>
    <m/>
    <m/>
    <m/>
    <m/>
    <m/>
    <m/>
    <m/>
    <m/>
    <m/>
    <m/>
  </r>
  <r>
    <n v="29"/>
    <x v="1"/>
    <x v="0"/>
    <x v="0"/>
    <x v="2"/>
    <x v="1"/>
    <s v="Yes"/>
    <x v="0"/>
    <n v="1"/>
    <s v="Blinkit"/>
    <s v=" Zepto"/>
    <s v=" Swiggy Instamart"/>
    <m/>
    <m/>
    <m/>
    <x v="0"/>
    <s v="More than a year"/>
    <s v="₹400 - ₹600"/>
    <s v="Evening"/>
    <s v="UPI"/>
    <s v="Groceries"/>
    <s v=" Snacks and Beverages"/>
    <s v=" Daily Essentials"/>
    <s v=" Personal Care"/>
    <m/>
    <s v="Strongly Agree"/>
    <s v="Agree"/>
    <s v="Strongly Agree"/>
    <s v="Strongly Agree"/>
    <s v="Strongly Agree"/>
    <s v="Agree"/>
    <s v="Strongly Agree"/>
    <s v="Strongly Agree"/>
    <s v="Strongly Agree"/>
    <s v="Strongly Agree"/>
    <n v="5"/>
    <n v="5"/>
    <n v="5"/>
    <s v="Fast Delivery"/>
    <m/>
    <m/>
    <m/>
    <m/>
    <m/>
    <m/>
    <m/>
    <m/>
    <m/>
    <m/>
    <m/>
    <m/>
    <m/>
    <m/>
    <m/>
    <m/>
    <m/>
    <m/>
    <m/>
    <m/>
  </r>
  <r>
    <n v="50"/>
    <x v="2"/>
    <x v="1"/>
    <x v="0"/>
    <x v="1"/>
    <x v="2"/>
    <s v="Yes"/>
    <x v="0"/>
    <n v="1"/>
    <s v="Blinkit"/>
    <s v=" Zepto"/>
    <s v=" Swiggy Instamart"/>
    <m/>
    <m/>
    <m/>
    <x v="2"/>
    <s v="More than a year"/>
    <s v="Above ₹600"/>
    <s v="Morning"/>
    <s v="UPI"/>
    <s v="Groceries"/>
    <m/>
    <m/>
    <m/>
    <m/>
    <s v="Agree"/>
    <s v="Agree"/>
    <s v="Neutral"/>
    <s v="Neutral"/>
    <s v="Neutral"/>
    <s v="Agree"/>
    <s v="Strongly Agree"/>
    <s v="Agree"/>
    <s v="Neutral"/>
    <s v="Agree"/>
    <n v="4"/>
    <n v="4"/>
    <n v="4"/>
    <s v="Convenience"/>
    <m/>
    <m/>
    <m/>
    <m/>
    <m/>
    <m/>
    <m/>
    <m/>
    <m/>
    <m/>
    <m/>
    <m/>
    <m/>
    <m/>
    <m/>
    <m/>
    <m/>
    <m/>
    <m/>
    <m/>
  </r>
  <r>
    <n v="43"/>
    <x v="3"/>
    <x v="1"/>
    <x v="1"/>
    <x v="1"/>
    <x v="2"/>
    <s v="Yes"/>
    <x v="0"/>
    <n v="1"/>
    <s v="Blinkit"/>
    <m/>
    <s v=" Swiggy Instamart"/>
    <m/>
    <m/>
    <s v="Other"/>
    <x v="4"/>
    <s v="More than a year"/>
    <s v="₹200 - ₹400"/>
    <s v="Evening"/>
    <s v="UPI"/>
    <s v="Groceries"/>
    <s v=" Snacks and Beverages"/>
    <s v=" Daily Essentials"/>
    <s v=" Medicines"/>
    <m/>
    <s v="Agree"/>
    <s v="Agree"/>
    <s v="Agree"/>
    <s v="Agree"/>
    <s v="Neutral"/>
    <s v="Agree"/>
    <s v="Agree"/>
    <s v="Agree"/>
    <s v="Agree"/>
    <s v="Agree"/>
    <n v="2"/>
    <n v="2"/>
    <n v="3"/>
    <s v="Fast Delivery"/>
    <m/>
    <m/>
    <m/>
    <m/>
    <m/>
    <m/>
    <m/>
    <m/>
    <m/>
    <m/>
    <m/>
    <m/>
    <m/>
    <m/>
    <m/>
    <m/>
    <m/>
    <m/>
    <m/>
    <m/>
  </r>
  <r>
    <n v="29"/>
    <x v="1"/>
    <x v="1"/>
    <x v="0"/>
    <x v="1"/>
    <x v="2"/>
    <s v="Yes"/>
    <x v="0"/>
    <n v="1"/>
    <s v="Blinkit"/>
    <m/>
    <s v=" Swiggy Instamart"/>
    <m/>
    <m/>
    <s v="Other"/>
    <x v="4"/>
    <s v="More than a year"/>
    <s v="Above ₹600"/>
    <s v="Morning"/>
    <s v="Wallets (Paytm, PhonePe, etc.)"/>
    <s v="Groceries"/>
    <s v=" Snacks and Beverages"/>
    <m/>
    <m/>
    <m/>
    <s v="Agree"/>
    <s v="Strongly Agree"/>
    <s v="Neutral"/>
    <s v="Agree"/>
    <s v="Neutral"/>
    <s v="Agree"/>
    <s v="Agree"/>
    <s v="Agree"/>
    <s v="Neutral"/>
    <s v="Agree"/>
    <n v="3"/>
    <n v="4"/>
    <n v="4"/>
    <s v="Fast Delivery"/>
    <m/>
    <m/>
    <m/>
    <m/>
    <m/>
    <m/>
    <m/>
    <m/>
    <m/>
    <m/>
    <m/>
    <m/>
    <m/>
    <m/>
    <m/>
    <m/>
    <m/>
    <m/>
    <m/>
    <m/>
  </r>
  <r>
    <n v="19"/>
    <x v="0"/>
    <x v="1"/>
    <x v="0"/>
    <x v="0"/>
    <x v="0"/>
    <s v="Yes"/>
    <x v="0"/>
    <n v="1"/>
    <s v="Blinkit"/>
    <s v=" Zepto"/>
    <s v=" Swiggy Instamart"/>
    <m/>
    <m/>
    <s v="Other"/>
    <x v="4"/>
    <s v="6-12 months"/>
    <s v="₹200 - ₹400"/>
    <s v="Afternoon"/>
    <s v="UPI"/>
    <s v="Groceries"/>
    <m/>
    <s v=" Daily Essentials"/>
    <s v=" Personal Care"/>
    <m/>
    <s v="Strongly Agree"/>
    <s v="Neutral"/>
    <s v="Agree"/>
    <s v="Strongly Disagree"/>
    <s v="Strongly Agree"/>
    <s v="Strongly Agree"/>
    <s v="Neutral"/>
    <s v="Strongly Disagree"/>
    <s v="Strongly Disagree"/>
    <s v="Strongly Agree"/>
    <n v="4"/>
    <n v="5"/>
    <n v="4"/>
    <s v="Fast Delivery"/>
    <m/>
    <m/>
    <m/>
    <m/>
    <m/>
    <m/>
    <m/>
    <m/>
    <m/>
    <m/>
    <m/>
    <m/>
    <m/>
    <m/>
    <m/>
    <m/>
    <m/>
    <m/>
    <m/>
    <m/>
  </r>
  <r>
    <n v="22"/>
    <x v="0"/>
    <x v="0"/>
    <x v="0"/>
    <x v="0"/>
    <x v="0"/>
    <s v="Yes"/>
    <x v="0"/>
    <n v="1"/>
    <s v="Blinkit"/>
    <s v=" Zepto"/>
    <s v=" Swiggy Instamart"/>
    <s v=" Big basket "/>
    <m/>
    <m/>
    <x v="0"/>
    <s v="More than a year"/>
    <s v="₹200 - ₹400"/>
    <s v="Evening"/>
    <s v="UPI"/>
    <s v="Groceries"/>
    <s v=" Snacks and Beverages"/>
    <m/>
    <s v=" Personal Care"/>
    <m/>
    <s v="Strongly Agree"/>
    <s v="Agree"/>
    <s v="Neutral"/>
    <s v="Neutral"/>
    <s v="Neutral"/>
    <s v="Neutral"/>
    <s v="Strongly Agree"/>
    <s v="Agree"/>
    <s v="Agree"/>
    <s v="Strongly Agree"/>
    <n v="4"/>
    <n v="4"/>
    <n v="5"/>
    <s v="Convenience"/>
    <m/>
    <m/>
    <m/>
    <m/>
    <m/>
    <m/>
    <m/>
    <m/>
    <m/>
    <m/>
    <m/>
    <m/>
    <m/>
    <m/>
    <m/>
    <m/>
    <m/>
    <m/>
    <m/>
    <m/>
  </r>
  <r>
    <n v="50"/>
    <x v="2"/>
    <x v="1"/>
    <x v="1"/>
    <x v="1"/>
    <x v="0"/>
    <s v="Yes"/>
    <x v="0"/>
    <n v="1"/>
    <s v="Blinkit"/>
    <s v=" Zepto"/>
    <s v=" Swiggy Instamart"/>
    <m/>
    <m/>
    <m/>
    <x v="3"/>
    <s v="More than a year"/>
    <s v="Above ₹600"/>
    <s v="Night"/>
    <s v="Cash on Delivery"/>
    <s v="Groceries"/>
    <s v=" Snacks and Beverages"/>
    <s v=" Daily Essentials"/>
    <s v=" Personal Care"/>
    <m/>
    <s v="Strongly Agree"/>
    <s v="Strongly Agree"/>
    <s v="Agree"/>
    <s v="Neutral"/>
    <s v="Agree"/>
    <s v="Disagree"/>
    <s v="Agree"/>
    <s v="Disagree"/>
    <s v="Agree"/>
    <s v="Agree"/>
    <n v="5"/>
    <n v="5"/>
    <n v="5"/>
    <s v="Fast Delivery"/>
    <m/>
    <m/>
    <m/>
    <m/>
    <m/>
    <m/>
    <m/>
    <m/>
    <m/>
    <m/>
    <m/>
    <m/>
    <m/>
    <m/>
    <m/>
    <m/>
    <m/>
    <m/>
    <m/>
    <m/>
  </r>
  <r>
    <n v="46"/>
    <x v="3"/>
    <x v="0"/>
    <x v="1"/>
    <x v="2"/>
    <x v="3"/>
    <s v="Yes"/>
    <x v="0"/>
    <n v="1"/>
    <s v="Blinkit"/>
    <s v=" Zepto"/>
    <s v=" Swiggy Instamart"/>
    <m/>
    <m/>
    <m/>
    <x v="0"/>
    <s v="3-6 months"/>
    <s v="Below ₹200"/>
    <s v="Afternoon"/>
    <s v="UPI"/>
    <m/>
    <s v="Snacks and Beverages"/>
    <m/>
    <m/>
    <m/>
    <s v="Neutral"/>
    <s v="Agree"/>
    <s v="Disagree"/>
    <s v="Agree"/>
    <s v="Strongly Disagree"/>
    <s v="Neutral"/>
    <s v="Agree"/>
    <s v="Agree"/>
    <s v="Agree"/>
    <s v="Agree"/>
    <n v="3"/>
    <n v="3"/>
    <n v="1"/>
    <s v="Emergency Needs"/>
    <m/>
    <m/>
    <m/>
    <m/>
    <m/>
    <m/>
    <m/>
    <m/>
    <m/>
    <m/>
    <m/>
    <m/>
    <m/>
    <m/>
    <m/>
    <m/>
    <m/>
    <m/>
    <m/>
    <m/>
  </r>
  <r>
    <n v="38"/>
    <x v="4"/>
    <x v="0"/>
    <x v="1"/>
    <x v="1"/>
    <x v="0"/>
    <s v="Yes"/>
    <x v="0"/>
    <n v="1"/>
    <s v="Blinkit"/>
    <s v=" Zepto"/>
    <s v=" Swiggy Instamart"/>
    <s v=" Big basket "/>
    <m/>
    <m/>
    <x v="3"/>
    <s v="More than a year"/>
    <s v="₹400 - ₹600"/>
    <s v="Night"/>
    <s v="Wallets (Paytm, PhonePe, etc.)"/>
    <m/>
    <s v="Snacks and Beverages"/>
    <s v=" Daily Essentials"/>
    <s v=" Personal Care"/>
    <m/>
    <s v="Strongly Agree"/>
    <s v="Strongly Agree"/>
    <s v="Strongly Agree"/>
    <s v="Strongly Agree"/>
    <s v="Agree"/>
    <s v="Agree"/>
    <s v="Strongly Agree"/>
    <s v="Strongly Agree"/>
    <s v="Strongly Agree"/>
    <s v="Agree"/>
    <n v="5"/>
    <n v="5"/>
    <n v="5"/>
    <s v="Convenience"/>
    <m/>
    <m/>
    <m/>
    <m/>
    <m/>
    <m/>
    <m/>
    <m/>
    <m/>
    <m/>
    <m/>
    <m/>
    <m/>
    <m/>
    <m/>
    <m/>
    <m/>
    <m/>
    <m/>
    <m/>
  </r>
  <r>
    <n v="40"/>
    <x v="4"/>
    <x v="0"/>
    <x v="2"/>
    <x v="1"/>
    <x v="0"/>
    <s v="Yes"/>
    <x v="0"/>
    <n v="1"/>
    <m/>
    <m/>
    <m/>
    <m/>
    <m/>
    <s v="Other"/>
    <x v="4"/>
    <s v="Less than 3 months"/>
    <s v="₹400 - ₹600"/>
    <s v="Evening"/>
    <s v="UPI"/>
    <s v="Groceries"/>
    <m/>
    <s v=" Daily Essentials"/>
    <m/>
    <m/>
    <s v="Agree"/>
    <s v="Agree"/>
    <s v="Agree"/>
    <s v="Agree"/>
    <s v="Agree"/>
    <s v="Agree"/>
    <s v="Agree"/>
    <s v="Agree"/>
    <s v="Agree"/>
    <s v="Agree"/>
    <n v="5"/>
    <n v="5"/>
    <n v="5"/>
    <s v="Fast Delivery"/>
    <m/>
    <m/>
    <m/>
    <m/>
    <m/>
    <m/>
    <m/>
    <m/>
    <m/>
    <m/>
    <m/>
    <m/>
    <m/>
    <m/>
    <m/>
    <m/>
    <m/>
    <m/>
    <m/>
    <m/>
  </r>
  <r>
    <n v="38"/>
    <x v="4"/>
    <x v="0"/>
    <x v="1"/>
    <x v="2"/>
    <x v="3"/>
    <s v="Yes"/>
    <x v="0"/>
    <n v="1"/>
    <s v="Blinkit"/>
    <m/>
    <m/>
    <m/>
    <m/>
    <m/>
    <x v="0"/>
    <s v="More than a year"/>
    <s v="Above ₹600"/>
    <s v="Evening"/>
    <s v="UPI"/>
    <s v="Groceries"/>
    <m/>
    <m/>
    <m/>
    <s v=" Medicines"/>
    <s v="Strongly Agree"/>
    <s v="Strongly Agree"/>
    <s v="Strongly Agree"/>
    <s v="Strongly Agree"/>
    <s v="Strongly Agree"/>
    <s v="Strongly Agree"/>
    <s v="Strongly Agree"/>
    <s v="Strongly Agree"/>
    <s v="Strongly Agree"/>
    <s v="Strongly Agree"/>
    <n v="3"/>
    <n v="3"/>
    <n v="3"/>
    <s v="Fast Delivery"/>
    <m/>
    <m/>
    <m/>
    <m/>
    <m/>
    <m/>
    <m/>
    <m/>
    <m/>
    <m/>
    <m/>
    <m/>
    <m/>
    <m/>
    <m/>
    <m/>
    <m/>
    <m/>
    <m/>
    <m/>
  </r>
  <r>
    <n v="37"/>
    <x v="4"/>
    <x v="0"/>
    <x v="2"/>
    <x v="1"/>
    <x v="3"/>
    <s v="Yes"/>
    <x v="0"/>
    <n v="1"/>
    <s v="Blinkit"/>
    <s v=" Zepto"/>
    <s v=" Swiggy Instamart"/>
    <m/>
    <m/>
    <m/>
    <x v="0"/>
    <s v="More than a year"/>
    <s v="₹200 - ₹400"/>
    <s v="Morning"/>
    <s v="UPI"/>
    <m/>
    <s v="Snacks and Beverages"/>
    <s v=" Daily Essentials"/>
    <m/>
    <m/>
    <s v="Agree"/>
    <s v="Agree"/>
    <s v="Agree"/>
    <s v="Neutral"/>
    <s v="Agree"/>
    <s v="Agree"/>
    <s v="Agree"/>
    <s v="Neutral"/>
    <s v="Agree"/>
    <s v="Neutral"/>
    <n v="3"/>
    <n v="3"/>
    <n v="3"/>
    <s v="Fast Delivery"/>
    <m/>
    <m/>
    <m/>
    <m/>
    <m/>
    <m/>
    <m/>
    <m/>
    <m/>
    <m/>
    <m/>
    <m/>
    <m/>
    <m/>
    <m/>
    <m/>
    <m/>
    <m/>
    <m/>
    <m/>
  </r>
  <r>
    <n v="22"/>
    <x v="0"/>
    <x v="1"/>
    <x v="1"/>
    <x v="0"/>
    <x v="1"/>
    <s v="Yes"/>
    <x v="0"/>
    <n v="1"/>
    <s v="Blinkit"/>
    <s v=" Zepto"/>
    <s v=" Swiggy Instamart"/>
    <m/>
    <m/>
    <m/>
    <x v="0"/>
    <s v="More than a year"/>
    <s v="₹200 - ₹400"/>
    <s v="Afternoon"/>
    <s v="UPI"/>
    <s v="Groceries"/>
    <m/>
    <m/>
    <m/>
    <m/>
    <s v="Agree"/>
    <s v="Agree"/>
    <s v="Agree"/>
    <s v="Agree"/>
    <s v="Neutral"/>
    <s v="Agree"/>
    <s v="Strongly Agree"/>
    <s v="Agree"/>
    <s v="Agree"/>
    <s v="Neutral"/>
    <n v="4"/>
    <n v="4"/>
    <n v="4"/>
    <s v="Fast Delivery"/>
    <m/>
    <m/>
    <m/>
    <m/>
    <m/>
    <m/>
    <m/>
    <m/>
    <m/>
    <m/>
    <m/>
    <m/>
    <m/>
    <m/>
    <m/>
    <m/>
    <m/>
    <m/>
    <m/>
    <m/>
  </r>
  <r>
    <n v="19"/>
    <x v="0"/>
    <x v="0"/>
    <x v="0"/>
    <x v="0"/>
    <x v="1"/>
    <s v="Yes"/>
    <x v="0"/>
    <n v="1"/>
    <s v="Blinkit"/>
    <s v=" Zepto"/>
    <s v=" Swiggy Instamart"/>
    <m/>
    <m/>
    <m/>
    <x v="0"/>
    <s v="3-6 months"/>
    <s v="Below ₹200"/>
    <s v="Evening"/>
    <s v="UPI"/>
    <s v="Groceries"/>
    <s v=" Snacks and Beverages"/>
    <m/>
    <m/>
    <m/>
    <s v="Agree"/>
    <s v="Agree"/>
    <s v="Neutral"/>
    <s v="Agree"/>
    <s v="Neutral"/>
    <s v="Agree"/>
    <s v="Agree"/>
    <s v="Neutral"/>
    <s v="Agree"/>
    <s v="Neutral"/>
    <n v="3"/>
    <n v="3"/>
    <n v="4"/>
    <s v="Emergency Needs"/>
    <m/>
    <m/>
    <m/>
    <s v="I prefer buying from local stores"/>
    <m/>
    <m/>
    <m/>
    <m/>
    <m/>
    <m/>
    <m/>
    <m/>
    <m/>
    <m/>
    <m/>
    <m/>
    <m/>
    <m/>
    <m/>
    <m/>
  </r>
  <r>
    <n v="18"/>
    <x v="0"/>
    <x v="0"/>
    <x v="3"/>
    <x v="0"/>
    <x v="2"/>
    <s v="Yes"/>
    <x v="1"/>
    <n v="0"/>
    <m/>
    <m/>
    <m/>
    <m/>
    <m/>
    <m/>
    <x v="1"/>
    <m/>
    <m/>
    <m/>
    <m/>
    <m/>
    <m/>
    <m/>
    <m/>
    <m/>
    <m/>
    <m/>
    <m/>
    <m/>
    <m/>
    <m/>
    <m/>
    <m/>
    <m/>
    <m/>
    <m/>
    <m/>
    <m/>
    <m/>
    <m/>
    <m/>
    <m/>
    <m/>
    <m/>
    <m/>
    <m/>
    <m/>
    <m/>
    <m/>
    <s v="Yes"/>
    <s v="Yes"/>
    <s v="Yes"/>
    <s v="Agree"/>
    <s v="Strongly Agree"/>
    <s v="Agree"/>
    <s v="Neutral"/>
    <s v="Agree"/>
    <s v="Strongly Disagree"/>
    <s v="Strongly Agree"/>
  </r>
  <r>
    <n v="40"/>
    <x v="4"/>
    <x v="1"/>
    <x v="4"/>
    <x v="3"/>
    <x v="2"/>
    <s v="Yes"/>
    <x v="0"/>
    <n v="1"/>
    <s v="Blinkit"/>
    <m/>
    <m/>
    <m/>
    <m/>
    <m/>
    <x v="0"/>
    <s v="More than a year"/>
    <s v="₹200 - ₹400"/>
    <s v="Morning"/>
    <s v="Cash on Delivery"/>
    <s v="Groceries"/>
    <m/>
    <m/>
    <m/>
    <m/>
    <s v="Agree"/>
    <s v="Agree"/>
    <s v="Neutral"/>
    <s v="Disagree"/>
    <s v="Disagree"/>
    <s v="Disagree"/>
    <s v="Agree"/>
    <s v="Neutral"/>
    <s v="Neutral"/>
    <s v="Disagree"/>
    <n v="3"/>
    <n v="3"/>
    <n v="2"/>
    <s v="Fast Delivery"/>
    <m/>
    <m/>
    <m/>
    <m/>
    <m/>
    <m/>
    <m/>
    <m/>
    <m/>
    <m/>
    <m/>
    <m/>
    <m/>
    <m/>
    <m/>
    <m/>
    <m/>
    <m/>
    <m/>
    <m/>
  </r>
  <r>
    <n v="22"/>
    <x v="0"/>
    <x v="1"/>
    <x v="1"/>
    <x v="0"/>
    <x v="0"/>
    <s v="Yes"/>
    <x v="0"/>
    <n v="1"/>
    <s v="Blinkit"/>
    <s v=" Zepto"/>
    <s v=" Swiggy Instamart"/>
    <s v=" big basket"/>
    <m/>
    <s v=" Other"/>
    <x v="0"/>
    <s v="More than a year"/>
    <s v="₹200 - ₹400"/>
    <s v="Evening"/>
    <s v="UPI"/>
    <s v="Groceries"/>
    <s v=" Snacks and Beverages"/>
    <s v=" Daily Essentials"/>
    <s v=" Personal Care"/>
    <m/>
    <s v="Strongly Agree"/>
    <s v="Agree"/>
    <s v="Agree"/>
    <s v="Agree"/>
    <s v="Neutral"/>
    <s v="Strongly Agree"/>
    <s v="Strongly Agree"/>
    <s v="Agree"/>
    <s v="Strongly Agree"/>
    <s v="Strongly Agree"/>
    <n v="5"/>
    <n v="5"/>
    <n v="5"/>
    <s v="Convenience"/>
    <m/>
    <s v=" Product quality concerns"/>
    <m/>
    <s v="I prefer buying from local stores"/>
    <s v=" Do no trust online delivery"/>
    <m/>
    <m/>
    <m/>
    <m/>
    <m/>
    <m/>
    <m/>
    <m/>
    <m/>
    <m/>
    <m/>
    <m/>
    <m/>
    <m/>
    <m/>
  </r>
  <r>
    <n v="18"/>
    <x v="0"/>
    <x v="0"/>
    <x v="0"/>
    <x v="0"/>
    <x v="0"/>
    <s v="Yes"/>
    <x v="1"/>
    <n v="0"/>
    <m/>
    <m/>
    <m/>
    <m/>
    <m/>
    <m/>
    <x v="1"/>
    <m/>
    <m/>
    <m/>
    <m/>
    <m/>
    <m/>
    <m/>
    <m/>
    <m/>
    <m/>
    <m/>
    <m/>
    <m/>
    <m/>
    <m/>
    <m/>
    <m/>
    <m/>
    <m/>
    <m/>
    <m/>
    <m/>
    <m/>
    <m/>
    <m/>
    <m/>
    <m/>
    <m/>
    <m/>
    <m/>
    <m/>
    <m/>
    <m/>
    <s v="Maybe"/>
    <s v="Maybe"/>
    <s v="Yes"/>
    <s v="Neutral"/>
    <s v="Agree"/>
    <s v="Agree"/>
    <s v="Neutral"/>
    <s v="Agree"/>
    <s v="Neutral"/>
    <s v="Agree"/>
  </r>
  <r>
    <n v="20"/>
    <x v="0"/>
    <x v="1"/>
    <x v="0"/>
    <x v="0"/>
    <x v="2"/>
    <s v="Yes"/>
    <x v="0"/>
    <n v="1"/>
    <s v="Blinkit"/>
    <s v=" Zepto"/>
    <s v=" Swiggy Instamart"/>
    <m/>
    <m/>
    <m/>
    <x v="0"/>
    <s v="Less than 3 months"/>
    <s v="Below ₹200"/>
    <s v="Evening"/>
    <s v="Cash on Delivery"/>
    <s v="Groceries"/>
    <s v=" Snacks and Beverages"/>
    <m/>
    <m/>
    <m/>
    <s v="Agree"/>
    <s v="Agree"/>
    <s v="Disagree"/>
    <s v="Neutral"/>
    <s v="Neutral"/>
    <s v="Agree"/>
    <s v="Disagree"/>
    <s v="Agree"/>
    <s v="Neutral"/>
    <s v="Neutral"/>
    <n v="3"/>
    <n v="1"/>
    <n v="2"/>
    <s v="Emergency Needs"/>
    <m/>
    <m/>
    <m/>
    <m/>
    <m/>
    <m/>
    <m/>
    <m/>
    <m/>
    <m/>
    <m/>
    <m/>
    <m/>
    <m/>
    <m/>
    <m/>
    <m/>
    <m/>
    <m/>
    <m/>
  </r>
  <r>
    <n v="20"/>
    <x v="0"/>
    <x v="0"/>
    <x v="0"/>
    <x v="0"/>
    <x v="1"/>
    <s v="Yes"/>
    <x v="0"/>
    <n v="1"/>
    <s v="Blinkit"/>
    <s v=" Zepto"/>
    <s v=" Swiggy Instamart"/>
    <m/>
    <m/>
    <m/>
    <x v="0"/>
    <s v="Less than 3 months"/>
    <s v="₹200 - ₹400"/>
    <s v="Afternoon"/>
    <s v="UPI"/>
    <s v="Groceries"/>
    <s v=" Snacks and Beverages"/>
    <m/>
    <m/>
    <m/>
    <s v="Strongly Agree"/>
    <s v="Strongly Agree"/>
    <s v="Agree"/>
    <s v="Strongly Agree"/>
    <s v="Neutral"/>
    <s v="Agree"/>
    <s v="Strongly Agree"/>
    <s v="Neutral"/>
    <s v="Agree"/>
    <s v="Neutral"/>
    <n v="5"/>
    <n v="4"/>
    <n v="4"/>
    <s v="Fast Delivery"/>
    <m/>
    <s v="Product quality concerns"/>
    <m/>
    <m/>
    <m/>
    <m/>
    <m/>
    <m/>
    <m/>
    <m/>
    <m/>
    <m/>
    <m/>
    <m/>
    <m/>
    <m/>
    <m/>
    <m/>
    <m/>
    <m/>
  </r>
  <r>
    <n v="35"/>
    <x v="4"/>
    <x v="1"/>
    <x v="0"/>
    <x v="3"/>
    <x v="2"/>
    <s v="Yes"/>
    <x v="1"/>
    <n v="0"/>
    <m/>
    <m/>
    <m/>
    <m/>
    <m/>
    <m/>
    <x v="1"/>
    <m/>
    <m/>
    <m/>
    <m/>
    <m/>
    <m/>
    <m/>
    <m/>
    <m/>
    <m/>
    <m/>
    <m/>
    <m/>
    <m/>
    <m/>
    <m/>
    <m/>
    <m/>
    <m/>
    <m/>
    <m/>
    <m/>
    <m/>
    <m/>
    <m/>
    <m/>
    <m/>
    <m/>
    <m/>
    <m/>
    <m/>
    <m/>
    <m/>
    <s v="Maybe"/>
    <s v="Maybe"/>
    <s v="Yes"/>
    <s v="Agree"/>
    <s v="Agree"/>
    <s v="Neutral"/>
    <s v="Agree"/>
    <s v="Neutral"/>
    <s v="Agree"/>
    <s v="Agree"/>
  </r>
  <r>
    <n v="25"/>
    <x v="0"/>
    <x v="0"/>
    <x v="2"/>
    <x v="2"/>
    <x v="3"/>
    <s v="Yes"/>
    <x v="0"/>
    <n v="1"/>
    <s v="Blinkit"/>
    <s v=" Zepto"/>
    <s v=" Swiggy Instamart"/>
    <m/>
    <m/>
    <m/>
    <x v="0"/>
    <s v="More than a year"/>
    <s v="₹200 - ₹400"/>
    <s v="Evening"/>
    <s v="UPI"/>
    <s v="Groceries"/>
    <s v=" Snacks and Beverages"/>
    <s v=" Daily Essentials"/>
    <s v=" Personal Care"/>
    <m/>
    <s v="Agree"/>
    <s v="Agree"/>
    <s v="Strongly Agree"/>
    <s v="Strongly Agree"/>
    <s v="Neutral"/>
    <s v="Strongly Agree"/>
    <s v="Strongly Agree"/>
    <s v="Agree"/>
    <s v="Strongly Agree"/>
    <s v="Agree"/>
    <n v="5"/>
    <n v="5"/>
    <n v="5"/>
    <s v="Convenience"/>
    <m/>
    <m/>
    <m/>
    <m/>
    <m/>
    <m/>
    <m/>
    <m/>
    <m/>
    <m/>
    <m/>
    <m/>
    <m/>
    <m/>
    <m/>
    <m/>
    <m/>
    <m/>
    <m/>
    <m/>
  </r>
  <r>
    <n v="29"/>
    <x v="1"/>
    <x v="0"/>
    <x v="1"/>
    <x v="1"/>
    <x v="2"/>
    <s v="Yes"/>
    <x v="0"/>
    <n v="1"/>
    <s v="Blinkit"/>
    <m/>
    <s v=" Swiggy Instamart"/>
    <m/>
    <m/>
    <m/>
    <x v="2"/>
    <s v="More than a year"/>
    <s v="₹200 - ₹400"/>
    <s v="Morning"/>
    <s v="UPI"/>
    <s v="Groceries"/>
    <s v=" Snacks and Beverages"/>
    <s v=" Daily Essentials"/>
    <s v=" Personal Care"/>
    <m/>
    <s v="Strongly Agree"/>
    <s v="Strongly Agree"/>
    <s v="Neutral"/>
    <s v="Neutral"/>
    <s v="Disagree"/>
    <s v="Agree"/>
    <s v="Strongly Agree"/>
    <s v="Agree"/>
    <s v="Neutral"/>
    <s v="Agree"/>
    <n v="3"/>
    <n v="3"/>
    <n v="3"/>
    <s v="Convenience"/>
    <m/>
    <m/>
    <m/>
    <m/>
    <m/>
    <m/>
    <m/>
    <m/>
    <m/>
    <m/>
    <m/>
    <m/>
    <m/>
    <m/>
    <m/>
    <m/>
    <m/>
    <m/>
    <m/>
    <m/>
  </r>
  <r>
    <n v="29"/>
    <x v="1"/>
    <x v="0"/>
    <x v="1"/>
    <x v="1"/>
    <x v="2"/>
    <s v="Yes"/>
    <x v="0"/>
    <n v="1"/>
    <s v="Blinkit"/>
    <s v=" Zepto"/>
    <s v=" Swiggy Instamart"/>
    <m/>
    <m/>
    <m/>
    <x v="0"/>
    <s v="6-12 months"/>
    <s v="₹200 - ₹400"/>
    <s v="Evening"/>
    <s v="UPI"/>
    <s v="Groceries"/>
    <s v=" Snacks and Beverages"/>
    <s v=" Daily Essentials"/>
    <s v=" Personal Care"/>
    <m/>
    <s v="Strongly Agree"/>
    <s v="Strongly Agree"/>
    <s v="Neutral"/>
    <s v="Agree"/>
    <s v="Agree"/>
    <s v="Agree"/>
    <s v="Strongly Agree"/>
    <s v="Neutral"/>
    <s v="Neutral"/>
    <s v="Strongly Agree"/>
    <n v="4"/>
    <n v="5"/>
    <n v="4"/>
    <s v="Convenience"/>
    <m/>
    <m/>
    <m/>
    <m/>
    <m/>
    <m/>
    <m/>
    <m/>
    <m/>
    <m/>
    <m/>
    <m/>
    <m/>
    <m/>
    <m/>
    <m/>
    <m/>
    <m/>
    <m/>
    <m/>
  </r>
  <r>
    <n v="30"/>
    <x v="1"/>
    <x v="1"/>
    <x v="2"/>
    <x v="1"/>
    <x v="1"/>
    <s v="Yes"/>
    <x v="0"/>
    <n v="1"/>
    <s v="Blinkit"/>
    <s v=" Zepto"/>
    <s v=" Swiggy Instamart"/>
    <m/>
    <m/>
    <m/>
    <x v="2"/>
    <s v="More than a year"/>
    <s v="₹200 - ₹400"/>
    <s v="Evening"/>
    <s v="UPI"/>
    <m/>
    <s v="Snacks and Beverages"/>
    <m/>
    <m/>
    <m/>
    <s v="Neutral"/>
    <s v="Agree"/>
    <s v="Agree"/>
    <s v="Agree"/>
    <s v="Neutral"/>
    <s v="Neutral"/>
    <s v="Agree"/>
    <s v="Agree"/>
    <s v="Agree"/>
    <s v="Disagree"/>
    <n v="4"/>
    <n v="3"/>
    <n v="4"/>
    <s v="Emergency Needs"/>
    <m/>
    <m/>
    <m/>
    <m/>
    <m/>
    <m/>
    <m/>
    <m/>
    <m/>
    <m/>
    <m/>
    <m/>
    <m/>
    <m/>
    <m/>
    <m/>
    <m/>
    <m/>
    <m/>
    <m/>
  </r>
  <r>
    <n v="27"/>
    <x v="1"/>
    <x v="1"/>
    <x v="1"/>
    <x v="1"/>
    <x v="1"/>
    <s v="Yes"/>
    <x v="0"/>
    <n v="1"/>
    <s v="Blinkit"/>
    <s v=" Zepto"/>
    <s v=" Swiggy Instamart"/>
    <m/>
    <m/>
    <m/>
    <x v="0"/>
    <s v="Less than 3 months"/>
    <s v="₹200 - ₹400"/>
    <s v="Morning"/>
    <s v="UPI"/>
    <s v="Groceries"/>
    <s v=" Snacks and Beverages"/>
    <s v=" Daily Essentials"/>
    <m/>
    <m/>
    <s v="Agree"/>
    <s v="Strongly Agree"/>
    <s v="Agree"/>
    <s v="Disagree"/>
    <s v="Agree"/>
    <s v="Strongly Agree"/>
    <s v="Strongly Agree"/>
    <s v="Agree"/>
    <s v="Strongly Agree"/>
    <s v="Agree"/>
    <n v="4"/>
    <n v="4"/>
    <n v="4"/>
    <s v="Convenience"/>
    <m/>
    <m/>
    <m/>
    <m/>
    <m/>
    <m/>
    <m/>
    <m/>
    <m/>
    <m/>
    <m/>
    <m/>
    <m/>
    <m/>
    <m/>
    <m/>
    <m/>
    <m/>
    <m/>
    <m/>
  </r>
  <r>
    <n v="23"/>
    <x v="0"/>
    <x v="1"/>
    <x v="1"/>
    <x v="0"/>
    <x v="0"/>
    <s v="Yes"/>
    <x v="0"/>
    <n v="1"/>
    <m/>
    <m/>
    <s v="Swiggy Instamart"/>
    <m/>
    <m/>
    <m/>
    <x v="4"/>
    <s v="6-12 months"/>
    <s v="₹200 - ₹400"/>
    <s v="Evening"/>
    <s v="Cash on Delivery"/>
    <m/>
    <s v="Snacks and Beverages"/>
    <m/>
    <m/>
    <m/>
    <s v="Neutral"/>
    <s v="Agree"/>
    <s v="Agree"/>
    <s v="Agree"/>
    <s v="Neutral"/>
    <s v="Agree"/>
    <s v="Agree"/>
    <s v="Agree"/>
    <s v="Agree"/>
    <s v="Neutral"/>
    <n v="3"/>
    <n v="3"/>
    <n v="3"/>
    <s v="Emergency Needs"/>
    <m/>
    <m/>
    <m/>
    <m/>
    <m/>
    <m/>
    <m/>
    <m/>
    <m/>
    <m/>
    <m/>
    <m/>
    <m/>
    <m/>
    <m/>
    <m/>
    <m/>
    <m/>
    <m/>
    <m/>
  </r>
  <r>
    <n v="22"/>
    <x v="0"/>
    <x v="1"/>
    <x v="1"/>
    <x v="0"/>
    <x v="4"/>
    <s v="Yes"/>
    <x v="0"/>
    <n v="1"/>
    <s v="Blinkit"/>
    <m/>
    <s v=" Swiggy Instamart"/>
    <m/>
    <m/>
    <m/>
    <x v="2"/>
    <s v="Less than 3 months"/>
    <s v="₹200 - ₹400"/>
    <s v="Afternoon"/>
    <s v="Cash on Delivery"/>
    <m/>
    <s v="Snacks and Beverages"/>
    <m/>
    <m/>
    <s v=" Medicines"/>
    <s v="Strongly Agree"/>
    <s v="Agree"/>
    <s v="Strongly Agree"/>
    <s v="Neutral"/>
    <s v="Disagree"/>
    <s v="Strongly Disagree"/>
    <s v="Strongly Disagree"/>
    <s v="Strongly Agree"/>
    <s v="Agree"/>
    <s v="Strongly Agree"/>
    <n v="2"/>
    <n v="1"/>
    <n v="2"/>
    <s v="Better Offers"/>
    <m/>
    <m/>
    <m/>
    <s v="I prefer buying from local stores"/>
    <m/>
    <m/>
    <m/>
    <m/>
    <m/>
    <m/>
    <m/>
    <m/>
    <m/>
    <m/>
    <m/>
    <m/>
    <m/>
    <m/>
    <m/>
    <m/>
  </r>
  <r>
    <n v="40"/>
    <x v="4"/>
    <x v="0"/>
    <x v="1"/>
    <x v="1"/>
    <x v="0"/>
    <s v="Yes"/>
    <x v="1"/>
    <n v="0"/>
    <m/>
    <m/>
    <m/>
    <m/>
    <m/>
    <m/>
    <x v="1"/>
    <m/>
    <m/>
    <m/>
    <m/>
    <m/>
    <m/>
    <m/>
    <m/>
    <m/>
    <m/>
    <m/>
    <m/>
    <m/>
    <m/>
    <m/>
    <m/>
    <m/>
    <m/>
    <m/>
    <m/>
    <m/>
    <m/>
    <m/>
    <m/>
    <m/>
    <m/>
    <m/>
    <m/>
    <m/>
    <m/>
    <m/>
    <m/>
    <m/>
    <s v="Maybe"/>
    <s v="Maybe"/>
    <s v="Yes"/>
    <s v="Agree"/>
    <s v="Agree"/>
    <s v="Agree"/>
    <s v="Agree"/>
    <s v="Agree"/>
    <s v="Agree"/>
    <s v="Agree"/>
  </r>
  <r>
    <n v="32"/>
    <x v="1"/>
    <x v="2"/>
    <x v="2"/>
    <x v="2"/>
    <x v="0"/>
    <s v="Yes"/>
    <x v="0"/>
    <n v="1"/>
    <m/>
    <s v="Zepto"/>
    <m/>
    <m/>
    <m/>
    <m/>
    <x v="3"/>
    <s v="6-12 months"/>
    <s v="₹400 - ₹600"/>
    <s v="Midnight"/>
    <s v="Wallets (Paytm, PhonePe, etc.)"/>
    <m/>
    <m/>
    <m/>
    <s v="Personal Care"/>
    <m/>
    <s v="Agree"/>
    <s v="Neutral"/>
    <s v="Agree"/>
    <s v="Strongly Agree"/>
    <s v="Neutral"/>
    <s v="Strongly Agree"/>
    <s v="Neutral"/>
    <s v="Neutral"/>
    <s v="Strongly Agree"/>
    <s v="Agree"/>
    <n v="3"/>
    <n v="2"/>
    <n v="4"/>
    <s v="Better Offers"/>
    <m/>
    <m/>
    <m/>
    <m/>
    <m/>
    <m/>
    <m/>
    <m/>
    <m/>
    <m/>
    <m/>
    <m/>
    <m/>
    <m/>
    <m/>
    <m/>
    <m/>
    <m/>
    <m/>
    <m/>
  </r>
  <r>
    <n v="22"/>
    <x v="0"/>
    <x v="1"/>
    <x v="2"/>
    <x v="1"/>
    <x v="1"/>
    <s v="Yes"/>
    <x v="0"/>
    <n v="1"/>
    <s v="Blinkit"/>
    <m/>
    <m/>
    <m/>
    <m/>
    <m/>
    <x v="0"/>
    <s v="More than a year"/>
    <s v="Below ₹200"/>
    <s v="Afternoon"/>
    <s v="Cash on Delivery"/>
    <m/>
    <s v="Snacks and Beverages"/>
    <m/>
    <m/>
    <m/>
    <s v="Agree"/>
    <s v="Neutral"/>
    <s v="Disagree"/>
    <s v="Neutral"/>
    <s v="Neutral"/>
    <s v="Neutral"/>
    <s v="Agree"/>
    <s v="Agree"/>
    <s v="Agree"/>
    <s v="Agree"/>
    <n v="4"/>
    <n v="4"/>
    <n v="5"/>
    <s v="Convenience"/>
    <m/>
    <m/>
    <m/>
    <m/>
    <m/>
    <m/>
    <m/>
    <m/>
    <m/>
    <m/>
    <m/>
    <m/>
    <m/>
    <m/>
    <m/>
    <m/>
    <m/>
    <m/>
    <m/>
    <m/>
  </r>
  <r>
    <n v="23"/>
    <x v="0"/>
    <x v="1"/>
    <x v="0"/>
    <x v="0"/>
    <x v="4"/>
    <s v="Yes"/>
    <x v="0"/>
    <n v="1"/>
    <s v="Blinkit"/>
    <s v=" Zepto"/>
    <s v=" Swiggy Instamart"/>
    <s v=" "/>
    <m/>
    <m/>
    <x v="0"/>
    <s v="6-12 months"/>
    <s v="Below ₹200"/>
    <s v="Night"/>
    <s v="UPI"/>
    <s v="Groceries"/>
    <s v=" Snacks and Beverages"/>
    <s v=" Daily Essentials"/>
    <s v=" Personal Care"/>
    <m/>
    <s v="Strongly Agree"/>
    <s v="Agree"/>
    <s v="Neutral"/>
    <s v="Agree"/>
    <s v="Neutral"/>
    <s v="Agree"/>
    <s v="Strongly Agree"/>
    <s v="Agree"/>
    <s v="Strongly Agree"/>
    <s v="Strongly Agree"/>
    <n v="5"/>
    <n v="5"/>
    <n v="5"/>
    <s v="Emergency Needs"/>
    <m/>
    <m/>
    <m/>
    <m/>
    <m/>
    <m/>
    <m/>
    <m/>
    <m/>
    <m/>
    <m/>
    <m/>
    <m/>
    <m/>
    <m/>
    <m/>
    <m/>
    <m/>
    <m/>
    <m/>
  </r>
  <r>
    <n v="30"/>
    <x v="1"/>
    <x v="1"/>
    <x v="1"/>
    <x v="1"/>
    <x v="0"/>
    <s v="Yes"/>
    <x v="0"/>
    <n v="1"/>
    <s v="Blinkit"/>
    <s v=" Zepto"/>
    <s v=" Swiggy Instamart"/>
    <m/>
    <m/>
    <m/>
    <x v="0"/>
    <s v="6-12 months"/>
    <s v="Above ₹600"/>
    <s v="Evening"/>
    <s v="UPI"/>
    <s v="Groceries"/>
    <s v=" Snacks and Beverages"/>
    <s v=" Daily Essentials"/>
    <m/>
    <m/>
    <s v="Neutral"/>
    <s v="Agree"/>
    <s v="Disagree"/>
    <s v="Neutral"/>
    <s v="Strongly Disagree"/>
    <s v="Disagree"/>
    <s v="Strongly Agree"/>
    <s v="Neutral"/>
    <s v="Strongly Agree"/>
    <s v="Neutral"/>
    <n v="3"/>
    <n v="3"/>
    <n v="3"/>
    <s v="Convenience"/>
    <m/>
    <m/>
    <m/>
    <m/>
    <m/>
    <m/>
    <m/>
    <m/>
    <m/>
    <m/>
    <m/>
    <m/>
    <m/>
    <m/>
    <m/>
    <m/>
    <m/>
    <m/>
    <m/>
    <m/>
  </r>
  <r>
    <n v="25"/>
    <x v="0"/>
    <x v="0"/>
    <x v="2"/>
    <x v="1"/>
    <x v="2"/>
    <s v="Yes"/>
    <x v="0"/>
    <n v="1"/>
    <s v="Blinkit"/>
    <s v=" Zepto"/>
    <s v=" Swiggy Instamart"/>
    <m/>
    <m/>
    <m/>
    <x v="0"/>
    <s v="More than a year"/>
    <s v="₹400 - ₹600"/>
    <s v="Evening"/>
    <s v="Cash on Delivery"/>
    <s v="Groceries"/>
    <s v=" Snacks and Beverages"/>
    <s v=" Daily Essentials"/>
    <s v=" Personal Care"/>
    <s v=" Medicines"/>
    <s v="Strongly Agree"/>
    <s v="Agree"/>
    <s v="Neutral"/>
    <s v="Strongly Agree"/>
    <s v="Disagree"/>
    <s v="Strongly Agree"/>
    <s v="Agree"/>
    <s v="Agree"/>
    <s v="Agree"/>
    <s v="Agree"/>
    <n v="5"/>
    <n v="5"/>
    <n v="5"/>
    <s v="Emergency Needs"/>
    <m/>
    <m/>
    <m/>
    <m/>
    <m/>
    <m/>
    <m/>
    <m/>
    <m/>
    <m/>
    <m/>
    <m/>
    <m/>
    <m/>
    <m/>
    <m/>
    <m/>
    <m/>
    <m/>
    <m/>
  </r>
  <r>
    <n v="35"/>
    <x v="4"/>
    <x v="1"/>
    <x v="2"/>
    <x v="3"/>
    <x v="2"/>
    <s v="Yes"/>
    <x v="0"/>
    <n v="1"/>
    <s v="Blinkit"/>
    <m/>
    <m/>
    <m/>
    <m/>
    <m/>
    <x v="0"/>
    <s v="More than a year"/>
    <s v="Above ₹600"/>
    <s v="Morning"/>
    <s v="Cash on Delivery"/>
    <s v="Groceries"/>
    <s v=" Snacks and Beverages"/>
    <s v=" Daily Essentials"/>
    <s v=" Personal Care"/>
    <s v=" Medicines"/>
    <s v="Strongly Agree"/>
    <s v="Strongly Agree"/>
    <s v="Disagree"/>
    <s v="Agree"/>
    <s v="Strongly Disagree"/>
    <s v="Agree"/>
    <s v="Agree"/>
    <s v="Agree"/>
    <s v="Neutral"/>
    <s v="Neutral"/>
    <n v="4"/>
    <n v="4"/>
    <n v="4"/>
    <s v="Emergency Needs"/>
    <m/>
    <s v="Product quality concerns"/>
    <m/>
    <m/>
    <m/>
    <m/>
    <m/>
    <m/>
    <m/>
    <m/>
    <m/>
    <m/>
    <m/>
    <m/>
    <m/>
    <m/>
    <m/>
    <m/>
    <m/>
    <m/>
  </r>
  <r>
    <n v="25"/>
    <x v="0"/>
    <x v="0"/>
    <x v="2"/>
    <x v="1"/>
    <x v="2"/>
    <s v="No"/>
    <x v="1"/>
    <n v="0"/>
    <m/>
    <m/>
    <m/>
    <m/>
    <m/>
    <m/>
    <x v="1"/>
    <m/>
    <m/>
    <m/>
    <m/>
    <m/>
    <m/>
    <m/>
    <m/>
    <m/>
    <m/>
    <m/>
    <m/>
    <m/>
    <m/>
    <m/>
    <m/>
    <m/>
    <m/>
    <m/>
    <m/>
    <m/>
    <m/>
    <m/>
    <m/>
    <m/>
    <m/>
    <m/>
    <m/>
    <m/>
    <m/>
    <m/>
    <m/>
    <m/>
    <s v="Maybe"/>
    <s v="Maybe"/>
    <s v="No"/>
    <s v="Neutral"/>
    <s v="Neutral"/>
    <s v="Neutral"/>
    <s v="Neutral"/>
    <s v="Neutral"/>
    <s v="Neutral"/>
    <s v="Neutral"/>
  </r>
  <r>
    <n v="26"/>
    <x v="1"/>
    <x v="1"/>
    <x v="1"/>
    <x v="0"/>
    <x v="4"/>
    <s v="Yes"/>
    <x v="0"/>
    <n v="1"/>
    <s v="Blinkit"/>
    <m/>
    <m/>
    <m/>
    <m/>
    <m/>
    <x v="0"/>
    <s v="More than a year"/>
    <s v="Above ₹600"/>
    <s v="Morning"/>
    <s v="UPI"/>
    <s v="Groceries"/>
    <s v=" Snacks and Beverages"/>
    <s v=" Daily Essentials"/>
    <s v=" Personal Care"/>
    <m/>
    <s v="Agree"/>
    <s v="Agree"/>
    <s v="Neutral"/>
    <s v="Neutral"/>
    <s v="Strongly Disagree"/>
    <s v="Strongly Agree"/>
    <s v="Agree"/>
    <s v="Neutral"/>
    <s v="Disagree"/>
    <s v="Agree"/>
    <n v="5"/>
    <n v="5"/>
    <n v="5"/>
    <s v="Emergency Needs"/>
    <m/>
    <m/>
    <m/>
    <m/>
    <m/>
    <m/>
    <m/>
    <m/>
    <m/>
    <m/>
    <m/>
    <m/>
    <m/>
    <m/>
    <m/>
    <m/>
    <m/>
    <m/>
    <m/>
    <m/>
  </r>
  <r>
    <n v="19"/>
    <x v="0"/>
    <x v="1"/>
    <x v="3"/>
    <x v="0"/>
    <x v="4"/>
    <s v="Yes"/>
    <x v="0"/>
    <n v="1"/>
    <s v="Blinkit"/>
    <s v=" Zepto"/>
    <s v=" Swiggy Instamart"/>
    <m/>
    <m/>
    <m/>
    <x v="0"/>
    <s v="3-6 months"/>
    <s v="Below ₹200"/>
    <s v="Afternoon"/>
    <s v="Cash on Delivery"/>
    <m/>
    <s v="Snacks and Beverages"/>
    <m/>
    <m/>
    <m/>
    <s v="Strongly Agree"/>
    <s v="Agree"/>
    <s v="Strongly Agree"/>
    <s v="Agree"/>
    <s v="Neutral"/>
    <s v="Disagree"/>
    <s v="Strongly Agree"/>
    <s v="Disagree"/>
    <s v="Strongly Agree"/>
    <s v="Strongly Agree"/>
    <n v="4"/>
    <n v="4"/>
    <n v="4"/>
    <s v="Product Availability"/>
    <m/>
    <m/>
    <m/>
    <m/>
    <m/>
    <m/>
    <m/>
    <m/>
    <m/>
    <m/>
    <m/>
    <m/>
    <m/>
    <m/>
    <m/>
    <m/>
    <m/>
    <m/>
    <m/>
    <m/>
  </r>
  <r>
    <n v="26"/>
    <x v="1"/>
    <x v="0"/>
    <x v="1"/>
    <x v="1"/>
    <x v="2"/>
    <s v="Yes"/>
    <x v="0"/>
    <n v="1"/>
    <m/>
    <m/>
    <s v="Swiggy Instamart"/>
    <m/>
    <m/>
    <m/>
    <x v="2"/>
    <s v="More than a year"/>
    <s v="₹200 - ₹400"/>
    <s v="Evening"/>
    <s v="UPI"/>
    <s v="Groceries"/>
    <s v=" Snacks and Beverages"/>
    <m/>
    <m/>
    <m/>
    <s v="Agree"/>
    <s v="Neutral"/>
    <s v="Agree"/>
    <s v="Disagree"/>
    <s v="Neutral"/>
    <s v="Neutral"/>
    <s v="Strongly Agree"/>
    <s v="Neutral"/>
    <s v="Disagree"/>
    <s v="Neutral"/>
    <n v="4"/>
    <n v="4"/>
    <n v="4"/>
    <s v="Emergency Needs"/>
    <m/>
    <m/>
    <m/>
    <m/>
    <m/>
    <m/>
    <m/>
    <m/>
    <m/>
    <m/>
    <m/>
    <m/>
    <m/>
    <m/>
    <m/>
    <m/>
    <m/>
    <m/>
    <m/>
    <m/>
  </r>
  <r>
    <n v="21"/>
    <x v="0"/>
    <x v="1"/>
    <x v="1"/>
    <x v="0"/>
    <x v="1"/>
    <s v="Yes"/>
    <x v="0"/>
    <n v="1"/>
    <s v="Blinkit"/>
    <s v=" Zepto"/>
    <s v=" Swiggy Instamart"/>
    <m/>
    <m/>
    <m/>
    <x v="0"/>
    <s v="3-6 months"/>
    <s v="Below ₹200"/>
    <s v="Evening"/>
    <s v="UPI"/>
    <m/>
    <s v="Snacks and Beverages"/>
    <m/>
    <m/>
    <m/>
    <s v="Strongly Agree"/>
    <s v="Agree"/>
    <s v="Agree"/>
    <s v="Neutral"/>
    <s v="Strongly Disagree"/>
    <s v="Neutral"/>
    <s v="Agree"/>
    <s v="Agree"/>
    <s v="Strongly Agree"/>
    <s v="Strongly Agree"/>
    <n v="3"/>
    <n v="4"/>
    <n v="4"/>
    <s v="Convenience"/>
    <m/>
    <m/>
    <m/>
    <m/>
    <m/>
    <m/>
    <m/>
    <m/>
    <m/>
    <m/>
    <m/>
    <m/>
    <m/>
    <m/>
    <m/>
    <m/>
    <m/>
    <m/>
    <m/>
    <m/>
  </r>
  <r>
    <n v="22"/>
    <x v="0"/>
    <x v="1"/>
    <x v="1"/>
    <x v="0"/>
    <x v="2"/>
    <s v="Yes"/>
    <x v="0"/>
    <n v="1"/>
    <s v="Blinkit"/>
    <s v=" Zepto"/>
    <s v=" Swiggy Instamart"/>
    <m/>
    <m/>
    <m/>
    <x v="0"/>
    <s v="More than a year"/>
    <s v="Below ₹200"/>
    <s v="Evening"/>
    <s v="Cash on Delivery"/>
    <s v="Groceries"/>
    <s v=" Snacks and Beverages"/>
    <m/>
    <m/>
    <m/>
    <s v="Neutral"/>
    <s v="Neutral"/>
    <s v="Neutral"/>
    <s v="Agree"/>
    <s v="Neutral"/>
    <s v="Agree"/>
    <s v="Agree"/>
    <s v="Agree"/>
    <s v="Agree"/>
    <s v="Agree"/>
    <n v="3"/>
    <n v="2"/>
    <n v="3"/>
    <s v="Fast Delivery"/>
    <m/>
    <m/>
    <m/>
    <s v="I prefer buying from local stores"/>
    <m/>
    <m/>
    <m/>
    <m/>
    <m/>
    <m/>
    <m/>
    <m/>
    <m/>
    <m/>
    <m/>
    <m/>
    <m/>
    <m/>
    <m/>
    <m/>
  </r>
  <r>
    <n v="18"/>
    <x v="0"/>
    <x v="0"/>
    <x v="3"/>
    <x v="0"/>
    <x v="3"/>
    <s v="No"/>
    <x v="1"/>
    <n v="0"/>
    <m/>
    <m/>
    <m/>
    <m/>
    <m/>
    <m/>
    <x v="1"/>
    <m/>
    <m/>
    <m/>
    <m/>
    <m/>
    <m/>
    <m/>
    <m/>
    <m/>
    <m/>
    <m/>
    <m/>
    <m/>
    <m/>
    <m/>
    <m/>
    <m/>
    <m/>
    <m/>
    <m/>
    <m/>
    <m/>
    <m/>
    <m/>
    <m/>
    <m/>
    <m/>
    <m/>
    <m/>
    <m/>
    <m/>
    <m/>
    <m/>
    <s v="Maybe"/>
    <s v="Maybe"/>
    <s v="No"/>
    <s v="Neutral"/>
    <s v="Neutral"/>
    <s v="Neutral"/>
    <s v="Neutral"/>
    <s v="Disagree"/>
    <s v="Agree"/>
    <s v="Disagree"/>
  </r>
  <r>
    <n v="45"/>
    <x v="3"/>
    <x v="1"/>
    <x v="2"/>
    <x v="1"/>
    <x v="0"/>
    <s v="Yes"/>
    <x v="0"/>
    <n v="1"/>
    <s v="Blinkit"/>
    <s v=" Zepto"/>
    <s v=" Swiggy Instamart"/>
    <m/>
    <m/>
    <m/>
    <x v="0"/>
    <s v="More than a year"/>
    <s v="Above ₹600"/>
    <s v="Night"/>
    <s v="UPI"/>
    <m/>
    <m/>
    <s v="Daily Essentials"/>
    <m/>
    <m/>
    <s v="Agree"/>
    <s v="Agree"/>
    <s v="Disagree"/>
    <s v="Agree"/>
    <s v="Strongly Disagree"/>
    <s v="Agree"/>
    <s v="Agree"/>
    <s v="Agree"/>
    <s v="Agree"/>
    <s v="Agree"/>
    <n v="4"/>
    <n v="4"/>
    <n v="4"/>
    <s v="Convenience"/>
    <m/>
    <m/>
    <m/>
    <m/>
    <m/>
    <m/>
    <m/>
    <m/>
    <m/>
    <m/>
    <m/>
    <m/>
    <m/>
    <m/>
    <m/>
    <m/>
    <m/>
    <m/>
    <m/>
    <m/>
  </r>
  <r>
    <n v="22"/>
    <x v="0"/>
    <x v="0"/>
    <x v="1"/>
    <x v="0"/>
    <x v="4"/>
    <s v="Yes"/>
    <x v="0"/>
    <n v="1"/>
    <s v="Blinkit"/>
    <s v=" Zepto"/>
    <s v=" Swiggy Instamart"/>
    <m/>
    <m/>
    <m/>
    <x v="0"/>
    <s v="More than a year"/>
    <s v="Below ₹200"/>
    <s v="Evening"/>
    <s v="UPI"/>
    <m/>
    <s v="Snacks and Beverages"/>
    <m/>
    <m/>
    <m/>
    <s v="Strongly Agree"/>
    <s v="Neutral"/>
    <s v="Agree"/>
    <s v="Agree"/>
    <s v="Disagree"/>
    <s v="Neutral"/>
    <s v="Strongly Agree"/>
    <s v="Neutral"/>
    <s v="Agree"/>
    <s v="Agree"/>
    <n v="4"/>
    <n v="5"/>
    <n v="5"/>
    <s v="Fast Delivery"/>
    <m/>
    <m/>
    <m/>
    <m/>
    <m/>
    <m/>
    <m/>
    <m/>
    <m/>
    <m/>
    <m/>
    <m/>
    <m/>
    <m/>
    <m/>
    <m/>
    <m/>
    <m/>
    <m/>
    <m/>
  </r>
  <r>
    <n v="23"/>
    <x v="0"/>
    <x v="0"/>
    <x v="1"/>
    <x v="0"/>
    <x v="2"/>
    <s v="Yes"/>
    <x v="0"/>
    <n v="1"/>
    <s v="Blinkit"/>
    <s v=" Zepto"/>
    <s v=" Swiggy Instamart"/>
    <m/>
    <m/>
    <m/>
    <x v="3"/>
    <s v="Less than 3 months"/>
    <s v="Below ₹200"/>
    <s v="Evening"/>
    <s v="UPI"/>
    <m/>
    <s v="Snacks and Beverages"/>
    <m/>
    <m/>
    <m/>
    <s v="Strongly Agree"/>
    <s v="Strongly Agree"/>
    <s v="Strongly Agree"/>
    <s v="Strongly Agree"/>
    <s v="Agree"/>
    <s v="Strongly Agree"/>
    <s v="Strongly Agree"/>
    <s v="Strongly Agree"/>
    <s v="Neutral"/>
    <s v="Neutral"/>
    <n v="5"/>
    <n v="4"/>
    <n v="5"/>
    <s v="Convenience"/>
    <m/>
    <m/>
    <m/>
    <m/>
    <m/>
    <m/>
    <m/>
    <m/>
    <m/>
    <m/>
    <m/>
    <m/>
    <m/>
    <m/>
    <m/>
    <m/>
    <m/>
    <m/>
    <m/>
    <m/>
  </r>
  <r>
    <n v="22"/>
    <x v="0"/>
    <x v="1"/>
    <x v="0"/>
    <x v="0"/>
    <x v="3"/>
    <s v="Yes"/>
    <x v="0"/>
    <n v="1"/>
    <s v="Blinkit"/>
    <s v=" Zepto"/>
    <s v=" Swiggy Instamart"/>
    <m/>
    <m/>
    <m/>
    <x v="2"/>
    <s v="Less than 3 months"/>
    <s v="₹200 - ₹400"/>
    <s v="Afternoon"/>
    <s v="Cash on Delivery"/>
    <s v="Groceries"/>
    <s v=" Snacks and Beverages"/>
    <s v=" Daily Essentials"/>
    <m/>
    <m/>
    <s v="Agree"/>
    <s v="Agree"/>
    <s v="Agree"/>
    <s v="Strongly Agree"/>
    <s v="Agree"/>
    <s v="Neutral"/>
    <s v="Agree"/>
    <s v="Strongly Agree"/>
    <s v="Strongly Agree"/>
    <s v="Strongly Agree"/>
    <n v="4"/>
    <n v="4"/>
    <n v="5"/>
    <s v="Affordable Pricing"/>
    <m/>
    <m/>
    <m/>
    <m/>
    <m/>
    <m/>
    <m/>
    <m/>
    <m/>
    <m/>
    <m/>
    <m/>
    <m/>
    <m/>
    <m/>
    <m/>
    <m/>
    <m/>
    <m/>
    <m/>
  </r>
  <r>
    <n v="21"/>
    <x v="0"/>
    <x v="1"/>
    <x v="1"/>
    <x v="0"/>
    <x v="2"/>
    <s v="Yes"/>
    <x v="0"/>
    <n v="1"/>
    <s v="Blinkit"/>
    <s v=" Zepto"/>
    <s v=" Swiggy Instamart"/>
    <m/>
    <m/>
    <m/>
    <x v="0"/>
    <s v="6-12 months"/>
    <s v="₹200 - ₹400"/>
    <s v="Evening"/>
    <s v="UPI"/>
    <s v="Groceries"/>
    <s v=" Snacks and Beverages"/>
    <m/>
    <m/>
    <m/>
    <s v="Strongly Agree"/>
    <s v="Strongly Agree"/>
    <s v="Disagree"/>
    <s v="Agree"/>
    <s v="Disagree"/>
    <s v="Agree"/>
    <s v="Agree"/>
    <s v="Agree"/>
    <s v="Agree"/>
    <s v="Strongly Agree"/>
    <n v="5"/>
    <n v="5"/>
    <n v="5"/>
    <s v="Fast Delivery"/>
    <m/>
    <m/>
    <m/>
    <m/>
    <m/>
    <m/>
    <m/>
    <m/>
    <m/>
    <m/>
    <m/>
    <m/>
    <m/>
    <m/>
    <m/>
    <m/>
    <m/>
    <m/>
    <m/>
    <m/>
  </r>
  <r>
    <n v="27"/>
    <x v="1"/>
    <x v="1"/>
    <x v="1"/>
    <x v="0"/>
    <x v="2"/>
    <s v="Yes"/>
    <x v="0"/>
    <n v="1"/>
    <s v="Blinkit"/>
    <s v=" Zepto"/>
    <s v=" Swiggy Instamart"/>
    <m/>
    <m/>
    <m/>
    <x v="2"/>
    <s v="6-12 months"/>
    <s v="₹200 - ₹400"/>
    <s v="Evening"/>
    <s v="UPI"/>
    <s v="Groceries"/>
    <s v=" Snacks and Beverages"/>
    <s v=" Daily Essentials"/>
    <m/>
    <m/>
    <s v="Agree"/>
    <s v="Strongly Agree"/>
    <s v="Disagree"/>
    <s v="Neutral"/>
    <s v="Neutral"/>
    <s v="Agree"/>
    <s v="Strongly Agree"/>
    <s v="Agree"/>
    <s v="Strongly Agree"/>
    <s v="Agree"/>
    <n v="5"/>
    <n v="4"/>
    <n v="4"/>
    <s v="Fast Delivery"/>
    <m/>
    <m/>
    <m/>
    <m/>
    <m/>
    <m/>
    <m/>
    <m/>
    <m/>
    <m/>
    <m/>
    <m/>
    <m/>
    <m/>
    <m/>
    <m/>
    <m/>
    <m/>
    <m/>
    <m/>
  </r>
  <r>
    <n v="52"/>
    <x v="2"/>
    <x v="1"/>
    <x v="0"/>
    <x v="1"/>
    <x v="2"/>
    <s v="Yes"/>
    <x v="0"/>
    <n v="1"/>
    <s v="Blinkit"/>
    <s v=" Zepto"/>
    <s v=" Swiggy Instamart"/>
    <m/>
    <m/>
    <m/>
    <x v="2"/>
    <s v="Less than 3 months"/>
    <s v="₹200 - ₹400"/>
    <s v="Evening"/>
    <s v="UPI"/>
    <s v="Groceries"/>
    <m/>
    <m/>
    <m/>
    <m/>
    <s v="Strongly Agree"/>
    <s v="Strongly Agree"/>
    <s v="Agree"/>
    <s v="Agree"/>
    <s v="Strongly Agree"/>
    <s v="Agree"/>
    <s v="Strongly Agree"/>
    <s v="Agree"/>
    <s v="Neutral"/>
    <s v="Agree"/>
    <n v="4"/>
    <n v="4"/>
    <n v="5"/>
    <s v="Emergency Needs"/>
    <m/>
    <m/>
    <m/>
    <m/>
    <m/>
    <m/>
    <m/>
    <m/>
    <m/>
    <m/>
    <m/>
    <m/>
    <m/>
    <m/>
    <m/>
    <m/>
    <m/>
    <m/>
    <m/>
    <m/>
  </r>
  <r>
    <n v="22"/>
    <x v="0"/>
    <x v="1"/>
    <x v="1"/>
    <x v="0"/>
    <x v="1"/>
    <s v="Yes"/>
    <x v="0"/>
    <n v="1"/>
    <s v="Blinkit"/>
    <s v=" Zepto"/>
    <m/>
    <m/>
    <m/>
    <m/>
    <x v="0"/>
    <s v="Less than 3 months"/>
    <s v="Below ₹200"/>
    <s v="Afternoon"/>
    <s v="Cash on Delivery"/>
    <m/>
    <m/>
    <m/>
    <m/>
    <s v="Medicines"/>
    <s v="Agree"/>
    <s v="Neutral"/>
    <s v="Neutral"/>
    <s v="Agree"/>
    <s v="Disagree"/>
    <s v="Neutral"/>
    <s v="Agree"/>
    <s v="Agree"/>
    <s v="Neutral"/>
    <s v="Neutral"/>
    <n v="2"/>
    <n v="3"/>
    <n v="2"/>
    <s v="Fast Delivery"/>
    <m/>
    <m/>
    <m/>
    <m/>
    <m/>
    <m/>
    <m/>
    <m/>
    <m/>
    <m/>
    <m/>
    <m/>
    <m/>
    <m/>
    <m/>
    <m/>
    <m/>
    <m/>
    <m/>
    <m/>
  </r>
  <r>
    <n v="22"/>
    <x v="0"/>
    <x v="1"/>
    <x v="1"/>
    <x v="0"/>
    <x v="4"/>
    <s v="Yes"/>
    <x v="0"/>
    <n v="1"/>
    <s v="Blinkit"/>
    <s v=" Zepto"/>
    <s v=" Swiggy Instamart"/>
    <m/>
    <m/>
    <m/>
    <x v="0"/>
    <s v="More than a year"/>
    <s v="₹200 - ₹400"/>
    <s v="Afternoon"/>
    <s v="UPI"/>
    <s v="Groceries"/>
    <s v=" Snacks and Beverages"/>
    <m/>
    <m/>
    <m/>
    <s v="Strongly Agree"/>
    <s v="Strongly Agree"/>
    <s v="Neutral"/>
    <s v="Strongly Agree"/>
    <s v="Strongly Agree"/>
    <s v="Strongly Agree"/>
    <s v="Strongly Agree"/>
    <s v="Strongly Agree"/>
    <s v="Strongly Agree"/>
    <s v="Strongly Agree"/>
    <n v="5"/>
    <n v="5"/>
    <n v="5"/>
    <s v="Convenience"/>
    <m/>
    <m/>
    <m/>
    <s v="I prefer buying from local stores"/>
    <s v=" Do no trust online delivery"/>
    <m/>
    <m/>
    <m/>
    <m/>
    <m/>
    <m/>
    <m/>
    <m/>
    <m/>
    <m/>
    <m/>
    <m/>
    <m/>
    <m/>
    <m/>
  </r>
  <r>
    <n v="35"/>
    <x v="4"/>
    <x v="0"/>
    <x v="2"/>
    <x v="2"/>
    <x v="0"/>
    <s v="Yes"/>
    <x v="1"/>
    <n v="0"/>
    <m/>
    <m/>
    <m/>
    <m/>
    <m/>
    <m/>
    <x v="1"/>
    <m/>
    <m/>
    <m/>
    <m/>
    <m/>
    <m/>
    <m/>
    <m/>
    <m/>
    <m/>
    <m/>
    <m/>
    <m/>
    <m/>
    <m/>
    <m/>
    <m/>
    <m/>
    <m/>
    <m/>
    <m/>
    <m/>
    <m/>
    <m/>
    <m/>
    <m/>
    <m/>
    <m/>
    <m/>
    <m/>
    <m/>
    <m/>
    <m/>
    <s v="Maybe"/>
    <s v="Maybe"/>
    <s v="Yes"/>
    <s v="Neutral"/>
    <s v="Neutral"/>
    <s v="Neutral"/>
    <s v="Neutral"/>
    <s v="Neutral"/>
    <s v="Neutral"/>
    <s v="Neutral"/>
  </r>
  <r>
    <n v="20"/>
    <x v="0"/>
    <x v="1"/>
    <x v="0"/>
    <x v="0"/>
    <x v="2"/>
    <s v="Yes"/>
    <x v="0"/>
    <n v="1"/>
    <s v="Blinkit"/>
    <s v=" Zepto"/>
    <s v=" Swiggy Instamart"/>
    <m/>
    <m/>
    <m/>
    <x v="3"/>
    <s v="More than a year"/>
    <s v="Below ₹200"/>
    <s v="Morning"/>
    <s v="Cash on Delivery"/>
    <s v="Groceries"/>
    <m/>
    <m/>
    <m/>
    <m/>
    <s v="Neutral"/>
    <s v="Neutral"/>
    <s v="Neutral"/>
    <s v="Neutral"/>
    <s v="Neutral"/>
    <s v="Neutral"/>
    <s v="Neutral"/>
    <s v="Neutral"/>
    <s v="Neutral"/>
    <s v="Neutral"/>
    <n v="4"/>
    <n v="4"/>
    <n v="4"/>
    <s v="Convenience"/>
    <m/>
    <m/>
    <m/>
    <s v="I prefer buying from local stores"/>
    <s v=" Do no trust online delivery"/>
    <m/>
    <m/>
    <m/>
    <m/>
    <m/>
    <m/>
    <m/>
    <m/>
    <m/>
    <m/>
    <m/>
    <m/>
    <m/>
    <m/>
    <m/>
  </r>
  <r>
    <n v="50"/>
    <x v="2"/>
    <x v="0"/>
    <x v="2"/>
    <x v="4"/>
    <x v="3"/>
    <s v="Yes"/>
    <x v="1"/>
    <n v="0"/>
    <m/>
    <m/>
    <m/>
    <m/>
    <m/>
    <m/>
    <x v="1"/>
    <m/>
    <m/>
    <m/>
    <m/>
    <m/>
    <m/>
    <m/>
    <m/>
    <m/>
    <m/>
    <m/>
    <m/>
    <m/>
    <m/>
    <m/>
    <m/>
    <m/>
    <m/>
    <m/>
    <m/>
    <m/>
    <m/>
    <m/>
    <m/>
    <m/>
    <m/>
    <m/>
    <m/>
    <m/>
    <m/>
    <m/>
    <m/>
    <m/>
    <s v="Maybe"/>
    <s v="Yes"/>
    <s v="Yes"/>
    <s v="Agree"/>
    <s v="Strongly Agree"/>
    <s v="Strongly Agree"/>
    <s v="Agree"/>
    <s v="Strongly Agree"/>
    <s v="Strongly Agree"/>
    <s v="Strongly Agree"/>
  </r>
  <r>
    <n v="25"/>
    <x v="0"/>
    <x v="0"/>
    <x v="1"/>
    <x v="2"/>
    <x v="2"/>
    <s v="Yes"/>
    <x v="0"/>
    <n v="1"/>
    <m/>
    <s v="Zepto"/>
    <s v=" Swiggy Instamart"/>
    <m/>
    <m/>
    <m/>
    <x v="0"/>
    <s v="Less than 3 months"/>
    <s v="Below ₹200"/>
    <s v="Night"/>
    <s v="UPI"/>
    <s v="Groceries"/>
    <m/>
    <m/>
    <m/>
    <m/>
    <s v="Neutral"/>
    <s v="Agree"/>
    <s v="Neutral"/>
    <s v="Neutral"/>
    <s v="Agree"/>
    <s v="Neutral"/>
    <s v="Neutral"/>
    <s v="Neutral"/>
    <s v="Neutral"/>
    <s v="Neutral"/>
    <n v="3"/>
    <n v="3"/>
    <n v="3"/>
    <s v="Fast Delivery"/>
    <m/>
    <m/>
    <m/>
    <m/>
    <m/>
    <m/>
    <m/>
    <m/>
    <m/>
    <m/>
    <m/>
    <m/>
    <m/>
    <m/>
    <m/>
    <m/>
    <m/>
    <m/>
    <m/>
    <m/>
  </r>
  <r>
    <n v="22"/>
    <x v="0"/>
    <x v="0"/>
    <x v="0"/>
    <x v="0"/>
    <x v="0"/>
    <s v="Yes"/>
    <x v="0"/>
    <n v="1"/>
    <s v="Blinkit"/>
    <m/>
    <m/>
    <m/>
    <m/>
    <m/>
    <x v="0"/>
    <s v="More than a year"/>
    <s v="Above ₹600"/>
    <s v="Evening"/>
    <s v="UPI"/>
    <s v="Groceries"/>
    <m/>
    <s v=" Daily Essentials"/>
    <s v=" Personal Care"/>
    <m/>
    <s v="Agree"/>
    <s v="Agree"/>
    <s v="Agree"/>
    <s v="Agree"/>
    <s v="Agree"/>
    <s v="Agree"/>
    <s v="Agree"/>
    <s v="Agree"/>
    <s v="Agree"/>
    <s v="Agree"/>
    <n v="5"/>
    <n v="4"/>
    <n v="4"/>
    <s v="Product Availability"/>
    <m/>
    <m/>
    <m/>
    <m/>
    <m/>
    <m/>
    <m/>
    <m/>
    <m/>
    <m/>
    <m/>
    <m/>
    <m/>
    <m/>
    <m/>
    <m/>
    <m/>
    <m/>
    <m/>
    <m/>
  </r>
  <r>
    <n v="25"/>
    <x v="0"/>
    <x v="1"/>
    <x v="1"/>
    <x v="0"/>
    <x v="3"/>
    <s v="Yes"/>
    <x v="0"/>
    <n v="1"/>
    <m/>
    <m/>
    <s v="Swiggy Instamart"/>
    <m/>
    <m/>
    <m/>
    <x v="2"/>
    <s v="More than a year"/>
    <s v="Above ₹600"/>
    <s v="Night"/>
    <s v="Cash on Delivery"/>
    <m/>
    <s v="Snacks and Beverages"/>
    <s v=" Daily Essentials"/>
    <s v=" "/>
    <m/>
    <s v="Agree"/>
    <s v="Agree"/>
    <s v="Agree"/>
    <s v="Agree"/>
    <s v="Agree"/>
    <s v="Agree"/>
    <s v="Agree"/>
    <s v="Agree"/>
    <s v="Agree"/>
    <s v="Agree"/>
    <n v="5"/>
    <n v="4"/>
    <n v="4"/>
    <s v="Affordable Pricing"/>
    <m/>
    <m/>
    <m/>
    <m/>
    <m/>
    <m/>
    <m/>
    <m/>
    <m/>
    <m/>
    <m/>
    <m/>
    <m/>
    <m/>
    <m/>
    <m/>
    <m/>
    <m/>
    <m/>
    <m/>
  </r>
  <r>
    <n v="31"/>
    <x v="1"/>
    <x v="1"/>
    <x v="1"/>
    <x v="1"/>
    <x v="1"/>
    <s v="Yes"/>
    <x v="0"/>
    <n v="1"/>
    <s v="Blinkit"/>
    <s v=" Zepto"/>
    <s v=" Swiggy Instamart"/>
    <m/>
    <m/>
    <m/>
    <x v="0"/>
    <s v="6-12 months"/>
    <s v="₹400 - ₹600"/>
    <s v="Evening"/>
    <s v="UPI"/>
    <s v="Groceries"/>
    <s v=" Snacks and Beverages"/>
    <s v=" Daily Essentials"/>
    <m/>
    <m/>
    <s v="Strongly Agree"/>
    <s v="Agree"/>
    <s v="Strongly Agree"/>
    <s v="Neutral"/>
    <s v="Neutral"/>
    <s v="Agree"/>
    <s v="Agree"/>
    <s v="Agree"/>
    <s v="Strongly Agree"/>
    <s v="Agree"/>
    <n v="4"/>
    <n v="4"/>
    <n v="4"/>
    <s v="Affordable Pricing"/>
    <m/>
    <m/>
    <m/>
    <m/>
    <m/>
    <m/>
    <m/>
    <m/>
    <m/>
    <m/>
    <m/>
    <m/>
    <m/>
    <m/>
    <m/>
    <m/>
    <m/>
    <m/>
    <m/>
    <m/>
  </r>
  <r>
    <n v="18"/>
    <x v="0"/>
    <x v="1"/>
    <x v="3"/>
    <x v="0"/>
    <x v="4"/>
    <s v="Yes"/>
    <x v="0"/>
    <n v="1"/>
    <s v="Blinkit"/>
    <s v=" Zepto"/>
    <s v=" Swiggy Instamart"/>
    <m/>
    <m/>
    <m/>
    <x v="0"/>
    <s v="More than a year"/>
    <s v="Below ₹200"/>
    <s v="Evening"/>
    <s v="UPI"/>
    <m/>
    <m/>
    <s v="Daily Essentials"/>
    <m/>
    <m/>
    <s v="Strongly Agree"/>
    <s v="Strongly Agree"/>
    <s v="Agree"/>
    <s v="Agree"/>
    <s v="Disagree"/>
    <s v="Strongly Agree"/>
    <s v="Agree"/>
    <s v="Agree"/>
    <s v="Neutral"/>
    <s v="Strongly Agree"/>
    <n v="4"/>
    <n v="5"/>
    <n v="5"/>
    <s v="Convenience"/>
    <m/>
    <m/>
    <m/>
    <s v="I prefer buying from local stores"/>
    <m/>
    <m/>
    <m/>
    <m/>
    <m/>
    <m/>
    <m/>
    <m/>
    <m/>
    <m/>
    <m/>
    <m/>
    <m/>
    <m/>
    <m/>
    <m/>
  </r>
  <r>
    <n v="21"/>
    <x v="0"/>
    <x v="0"/>
    <x v="0"/>
    <x v="0"/>
    <x v="1"/>
    <s v="Yes"/>
    <x v="1"/>
    <n v="0"/>
    <m/>
    <m/>
    <m/>
    <m/>
    <m/>
    <m/>
    <x v="1"/>
    <m/>
    <m/>
    <m/>
    <m/>
    <m/>
    <m/>
    <m/>
    <m/>
    <m/>
    <m/>
    <m/>
    <m/>
    <m/>
    <m/>
    <m/>
    <m/>
    <m/>
    <m/>
    <m/>
    <m/>
    <m/>
    <m/>
    <m/>
    <m/>
    <m/>
    <m/>
    <s v="I prefer buying from local stores"/>
    <s v=" Do no trust online delivery"/>
    <s v=" Not comfortable using apps"/>
    <s v=" Not aware how to use the apps"/>
    <m/>
    <m/>
    <m/>
    <s v="Yes"/>
    <s v="Yes"/>
    <s v="Yes"/>
    <s v="Neutral"/>
    <s v="Strongly Agree"/>
    <s v="Agree"/>
    <s v="Agree"/>
    <s v="Agree"/>
    <s v="Disagree"/>
    <s v="Strongly Agree"/>
  </r>
  <r>
    <n v="60"/>
    <x v="2"/>
    <x v="0"/>
    <x v="4"/>
    <x v="2"/>
    <x v="0"/>
    <s v="Yes"/>
    <x v="1"/>
    <n v="0"/>
    <m/>
    <m/>
    <m/>
    <m/>
    <m/>
    <m/>
    <x v="1"/>
    <m/>
    <m/>
    <m/>
    <m/>
    <m/>
    <m/>
    <m/>
    <m/>
    <m/>
    <m/>
    <m/>
    <m/>
    <m/>
    <m/>
    <m/>
    <m/>
    <m/>
    <m/>
    <m/>
    <m/>
    <m/>
    <m/>
    <m/>
    <m/>
    <m/>
    <m/>
    <m/>
    <m/>
    <m/>
    <m/>
    <m/>
    <m/>
    <m/>
    <s v="No"/>
    <s v="Maybe"/>
    <s v="Yes"/>
    <s v="Agree"/>
    <s v="Neutral"/>
    <s v="Agree"/>
    <s v="Neutral"/>
    <s v="Agree"/>
    <s v="Agree"/>
    <s v="Strongly Agree"/>
  </r>
  <r>
    <n v="35"/>
    <x v="4"/>
    <x v="0"/>
    <x v="2"/>
    <x v="2"/>
    <x v="0"/>
    <s v="Yes"/>
    <x v="0"/>
    <n v="1"/>
    <s v="Blinkit"/>
    <s v=" Zepto"/>
    <m/>
    <m/>
    <m/>
    <m/>
    <x v="0"/>
    <s v="6-12 months"/>
    <s v="Above ₹600"/>
    <s v="Night"/>
    <s v="UPI"/>
    <s v="Groceries"/>
    <s v=" Snacks and Beverages"/>
    <s v=" Daily Essentials"/>
    <s v=" Personal Care"/>
    <m/>
    <s v="Agree"/>
    <s v="Agree"/>
    <s v="Agree"/>
    <s v="Agree"/>
    <s v="Agree"/>
    <s v="Agree"/>
    <s v="Agree"/>
    <s v="Agree"/>
    <s v="Agree"/>
    <s v="Agree"/>
    <n v="5"/>
    <n v="4"/>
    <n v="5"/>
    <s v="Emergency Needs"/>
    <m/>
    <m/>
    <m/>
    <m/>
    <m/>
    <m/>
    <m/>
    <m/>
    <m/>
    <m/>
    <m/>
    <m/>
    <m/>
    <m/>
    <m/>
    <m/>
    <m/>
    <m/>
    <m/>
    <m/>
  </r>
  <r>
    <n v="35"/>
    <x v="4"/>
    <x v="0"/>
    <x v="0"/>
    <x v="1"/>
    <x v="0"/>
    <s v="Yes"/>
    <x v="0"/>
    <n v="1"/>
    <s v="Blinkit"/>
    <s v=" Zepto"/>
    <s v=" Swiggy Instamart"/>
    <s v=" "/>
    <m/>
    <m/>
    <x v="0"/>
    <s v="More than a year"/>
    <s v="₹400 - ₹600"/>
    <s v="Morning"/>
    <s v="UPI"/>
    <m/>
    <s v="Snacks and Beverages"/>
    <s v=" Daily Essentials"/>
    <s v=" Personal Care"/>
    <m/>
    <s v="Strongly Agree"/>
    <s v="Strongly Agree"/>
    <s v="Agree"/>
    <s v="Agree"/>
    <s v="Disagree"/>
    <s v="Agree"/>
    <s v="Strongly Agree"/>
    <s v="Strongly Agree"/>
    <s v="Neutral"/>
    <s v="Strongly Agree"/>
    <n v="5"/>
    <n v="5"/>
    <n v="4"/>
    <s v="Product Availability"/>
    <m/>
    <m/>
    <m/>
    <s v="I prefer buying from local stores"/>
    <m/>
    <m/>
    <m/>
    <s v=" My family member buys me the product "/>
    <m/>
    <m/>
    <m/>
    <m/>
    <m/>
    <m/>
    <m/>
    <m/>
    <m/>
    <m/>
    <m/>
    <m/>
  </r>
  <r>
    <n v="60"/>
    <x v="2"/>
    <x v="0"/>
    <x v="3"/>
    <x v="4"/>
    <x v="1"/>
    <s v="Yes"/>
    <x v="1"/>
    <n v="0"/>
    <m/>
    <m/>
    <m/>
    <m/>
    <m/>
    <m/>
    <x v="1"/>
    <m/>
    <m/>
    <m/>
    <m/>
    <m/>
    <m/>
    <m/>
    <m/>
    <m/>
    <m/>
    <m/>
    <m/>
    <m/>
    <m/>
    <m/>
    <m/>
    <m/>
    <m/>
    <m/>
    <m/>
    <m/>
    <m/>
    <m/>
    <m/>
    <m/>
    <m/>
    <m/>
    <m/>
    <m/>
    <m/>
    <m/>
    <m/>
    <m/>
    <s v="Yes"/>
    <s v="Maybe"/>
    <s v="Yes"/>
    <s v="Neutral"/>
    <s v="Neutral"/>
    <s v="Agree"/>
    <s v="Neutral"/>
    <s v="Neutral"/>
    <s v="Neutral"/>
    <s v="Neutral"/>
  </r>
  <r>
    <n v="18"/>
    <x v="0"/>
    <x v="1"/>
    <x v="0"/>
    <x v="0"/>
    <x v="0"/>
    <s v="Yes"/>
    <x v="0"/>
    <n v="1"/>
    <s v="Blinkit"/>
    <m/>
    <m/>
    <m/>
    <m/>
    <m/>
    <x v="0"/>
    <s v="Less than 3 months"/>
    <s v="₹200 - ₹400"/>
    <s v="Afternoon"/>
    <s v="Cash on Delivery"/>
    <s v="Groceries"/>
    <m/>
    <m/>
    <m/>
    <m/>
    <s v="Agree"/>
    <s v="Neutral"/>
    <s v="Neutral"/>
    <s v="Neutral"/>
    <s v="Neutral"/>
    <s v="Neutral"/>
    <s v="Agree"/>
    <s v="Neutral"/>
    <s v="Disagree"/>
    <s v="Neutral"/>
    <n v="4"/>
    <n v="4"/>
    <n v="4"/>
    <s v="Emergency Needs"/>
    <m/>
    <m/>
    <m/>
    <m/>
    <m/>
    <m/>
    <m/>
    <m/>
    <m/>
    <m/>
    <m/>
    <m/>
    <m/>
    <m/>
    <m/>
    <m/>
    <m/>
    <m/>
    <m/>
    <m/>
  </r>
  <r>
    <n v="18"/>
    <x v="0"/>
    <x v="1"/>
    <x v="0"/>
    <x v="0"/>
    <x v="0"/>
    <s v="Yes"/>
    <x v="0"/>
    <n v="1"/>
    <s v="Blinkit"/>
    <s v=" Zepto"/>
    <s v=" Swiggy Instamart"/>
    <m/>
    <m/>
    <m/>
    <x v="3"/>
    <s v="More than a year"/>
    <s v="₹200 - ₹400"/>
    <s v="Evening"/>
    <s v="UPI"/>
    <s v="Groceries"/>
    <s v=" Snacks and Beverages"/>
    <m/>
    <m/>
    <m/>
    <s v="Strongly Agree"/>
    <s v="Strongly Agree"/>
    <s v="Strongly Agree"/>
    <s v="Strongly Agree"/>
    <s v="Agree"/>
    <s v="Strongly Agree"/>
    <s v="Strongly Agree"/>
    <s v="Strongly Agree"/>
    <s v="Neutral"/>
    <s v="Neutral"/>
    <n v="4"/>
    <n v="4"/>
    <n v="4"/>
    <s v="Fast Delivery"/>
    <m/>
    <m/>
    <m/>
    <m/>
    <m/>
    <m/>
    <m/>
    <m/>
    <m/>
    <m/>
    <m/>
    <m/>
    <m/>
    <m/>
    <m/>
    <m/>
    <m/>
    <m/>
    <m/>
    <m/>
  </r>
  <r>
    <n v="31"/>
    <x v="1"/>
    <x v="0"/>
    <x v="2"/>
    <x v="2"/>
    <x v="2"/>
    <s v="Yes"/>
    <x v="0"/>
    <n v="1"/>
    <m/>
    <m/>
    <s v="Swiggy Instamart"/>
    <m/>
    <m/>
    <m/>
    <x v="3"/>
    <s v="3-6 months"/>
    <s v="₹400 - ₹600"/>
    <s v="Night"/>
    <s v="Debit/Credit Card"/>
    <m/>
    <s v="Snacks and Beverages"/>
    <m/>
    <m/>
    <m/>
    <s v="Agree"/>
    <s v="Neutral"/>
    <s v="Agree"/>
    <s v="Neutral"/>
    <s v="Strongly Agree"/>
    <s v="Neutral"/>
    <s v="Neutral"/>
    <s v="Neutral"/>
    <s v="Strongly Agree"/>
    <s v="Neutral"/>
    <n v="3"/>
    <n v="4"/>
    <n v="2"/>
    <s v="Emergency Needs"/>
    <m/>
    <m/>
    <m/>
    <m/>
    <m/>
    <m/>
    <m/>
    <m/>
    <m/>
    <m/>
    <m/>
    <m/>
    <m/>
    <m/>
    <m/>
    <m/>
    <m/>
    <m/>
    <m/>
    <m/>
  </r>
  <r>
    <n v="59"/>
    <x v="2"/>
    <x v="1"/>
    <x v="0"/>
    <x v="3"/>
    <x v="1"/>
    <s v="Yes"/>
    <x v="0"/>
    <n v="1"/>
    <s v="Blinkit"/>
    <s v=" Zepto"/>
    <s v=" Swiggy Instamart"/>
    <m/>
    <m/>
    <m/>
    <x v="0"/>
    <s v="3-6 months"/>
    <s v="₹400 - ₹600"/>
    <s v="Afternoon"/>
    <s v="Wallets (Paytm, PhonePe, etc.)"/>
    <s v="Groceries"/>
    <m/>
    <m/>
    <m/>
    <m/>
    <s v="Agree"/>
    <s v="Neutral"/>
    <s v="Neutral"/>
    <s v="Disagree"/>
    <s v="Disagree"/>
    <s v="Neutral"/>
    <s v="Disagree"/>
    <s v="Disagree"/>
    <s v="Neutral"/>
    <s v="Disagree"/>
    <n v="4"/>
    <n v="4"/>
    <n v="3"/>
    <s v="Affordable Pricing"/>
    <m/>
    <m/>
    <m/>
    <m/>
    <m/>
    <m/>
    <m/>
    <m/>
    <m/>
    <m/>
    <m/>
    <m/>
    <m/>
    <m/>
    <m/>
    <m/>
    <m/>
    <m/>
    <m/>
    <m/>
  </r>
  <r>
    <n v="30"/>
    <x v="1"/>
    <x v="1"/>
    <x v="0"/>
    <x v="2"/>
    <x v="2"/>
    <s v="Yes"/>
    <x v="0"/>
    <n v="1"/>
    <s v="Blinkit"/>
    <s v=" Zepto"/>
    <s v=" Swiggy Instamart"/>
    <m/>
    <m/>
    <m/>
    <x v="3"/>
    <s v="More than a year"/>
    <s v="₹200 - ₹400"/>
    <s v="Evening"/>
    <s v="Cash on Delivery"/>
    <s v="Groceries"/>
    <m/>
    <m/>
    <m/>
    <m/>
    <s v="Agree"/>
    <s v="Neutral"/>
    <s v="Neutral"/>
    <s v="Neutral"/>
    <s v="Neutral"/>
    <s v="Agree"/>
    <s v="Agree"/>
    <s v="Agree"/>
    <s v="Neutral"/>
    <s v="Neutral"/>
    <n v="4"/>
    <n v="4"/>
    <n v="4"/>
    <s v="Convenience"/>
    <m/>
    <m/>
    <m/>
    <m/>
    <m/>
    <m/>
    <m/>
    <m/>
    <m/>
    <m/>
    <m/>
    <m/>
    <m/>
    <m/>
    <m/>
    <m/>
    <m/>
    <m/>
    <m/>
    <m/>
  </r>
  <r>
    <n v="50"/>
    <x v="2"/>
    <x v="0"/>
    <x v="2"/>
    <x v="1"/>
    <x v="0"/>
    <s v="Yes"/>
    <x v="0"/>
    <n v="1"/>
    <s v="Blinkit"/>
    <s v=" Zepto"/>
    <s v=" Swiggy Instamart"/>
    <m/>
    <m/>
    <m/>
    <x v="3"/>
    <s v="More than a year"/>
    <s v="Above ₹600"/>
    <s v="Night"/>
    <s v="UPI"/>
    <s v="Groceries"/>
    <s v=" Snacks and Beverages"/>
    <s v=" Daily Essentials"/>
    <s v=" Personal Care"/>
    <s v=" Medicines"/>
    <s v="Agree"/>
    <s v="Neutral"/>
    <s v="Agree"/>
    <s v="Agree"/>
    <s v="Agree"/>
    <s v="Agree"/>
    <s v="Agree"/>
    <s v="Agree"/>
    <s v="Agree"/>
    <s v="Agree"/>
    <n v="5"/>
    <n v="5"/>
    <n v="5"/>
    <s v="Fast Delivery"/>
    <s v=" Delivery charges are high"/>
    <s v=" Product quality concerns"/>
    <m/>
    <s v="I prefer buying from local stores"/>
    <s v=" Do no trust online delivery"/>
    <m/>
    <m/>
    <m/>
    <s v=" Payment safety concerns"/>
    <m/>
    <m/>
    <m/>
    <m/>
    <m/>
    <m/>
    <m/>
    <m/>
    <m/>
    <m/>
    <m/>
  </r>
  <r>
    <n v="35"/>
    <x v="4"/>
    <x v="0"/>
    <x v="1"/>
    <x v="1"/>
    <x v="0"/>
    <s v="Yes"/>
    <x v="1"/>
    <n v="0"/>
    <m/>
    <m/>
    <m/>
    <m/>
    <m/>
    <m/>
    <x v="1"/>
    <m/>
    <m/>
    <m/>
    <m/>
    <m/>
    <m/>
    <m/>
    <m/>
    <m/>
    <m/>
    <m/>
    <m/>
    <m/>
    <m/>
    <m/>
    <m/>
    <m/>
    <m/>
    <m/>
    <m/>
    <m/>
    <m/>
    <m/>
    <m/>
    <s v=" Product quality concerns"/>
    <m/>
    <s v="I prefer buying from local stores"/>
    <m/>
    <s v=" Not comfortable using apps"/>
    <s v=" Not aware how to use the apps"/>
    <m/>
    <m/>
    <m/>
    <s v="Maybe"/>
    <s v="Maybe"/>
    <s v="Yes"/>
    <s v="Neutral"/>
    <s v="Disagree"/>
    <s v="Neutral"/>
    <s v="Disagree"/>
    <s v="Neutral"/>
    <s v="Neutral"/>
    <s v="Neutral"/>
  </r>
  <r>
    <n v="53"/>
    <x v="2"/>
    <x v="0"/>
    <x v="1"/>
    <x v="2"/>
    <x v="3"/>
    <s v="Yes"/>
    <x v="1"/>
    <n v="0"/>
    <m/>
    <m/>
    <m/>
    <m/>
    <m/>
    <m/>
    <x v="1"/>
    <m/>
    <m/>
    <m/>
    <m/>
    <m/>
    <m/>
    <m/>
    <m/>
    <m/>
    <m/>
    <m/>
    <m/>
    <m/>
    <m/>
    <m/>
    <m/>
    <m/>
    <m/>
    <m/>
    <m/>
    <m/>
    <m/>
    <m/>
    <m/>
    <s v=" Product quality concerns"/>
    <m/>
    <m/>
    <s v="Do no trust online delivery"/>
    <m/>
    <m/>
    <m/>
    <s v=" Payment safety concerns"/>
    <m/>
    <s v="Maybe"/>
    <s v="Maybe"/>
    <s v="Yes"/>
    <s v="Agree"/>
    <s v="Neutral"/>
    <s v="Neutral"/>
    <s v="Neutral"/>
    <s v="Neutral"/>
    <s v="Neutral"/>
    <s v="Neutral"/>
  </r>
  <r>
    <n v="45"/>
    <x v="3"/>
    <x v="1"/>
    <x v="0"/>
    <x v="3"/>
    <x v="0"/>
    <s v="Yes"/>
    <x v="1"/>
    <n v="0"/>
    <m/>
    <m/>
    <m/>
    <m/>
    <m/>
    <m/>
    <x v="1"/>
    <m/>
    <m/>
    <m/>
    <m/>
    <m/>
    <m/>
    <m/>
    <m/>
    <m/>
    <m/>
    <m/>
    <m/>
    <m/>
    <m/>
    <m/>
    <m/>
    <m/>
    <m/>
    <m/>
    <m/>
    <m/>
    <m/>
    <m/>
    <m/>
    <m/>
    <m/>
    <s v="I prefer buying from local stores"/>
    <m/>
    <m/>
    <s v=" Not aware how to use the apps"/>
    <m/>
    <m/>
    <m/>
    <s v="No"/>
    <s v="No"/>
    <s v="No"/>
    <s v="Neutral"/>
    <s v="Disagree"/>
    <s v="Neutral"/>
    <s v="Disagree"/>
    <s v="Neutral"/>
    <s v="Disagree"/>
    <s v="Neutral"/>
  </r>
  <r>
    <n v="56"/>
    <x v="2"/>
    <x v="0"/>
    <x v="0"/>
    <x v="4"/>
    <x v="0"/>
    <s v="No"/>
    <x v="1"/>
    <n v="0"/>
    <m/>
    <m/>
    <m/>
    <m/>
    <m/>
    <m/>
    <x v="1"/>
    <m/>
    <m/>
    <m/>
    <m/>
    <m/>
    <m/>
    <m/>
    <m/>
    <m/>
    <m/>
    <m/>
    <m/>
    <m/>
    <m/>
    <m/>
    <m/>
    <m/>
    <m/>
    <m/>
    <m/>
    <m/>
    <m/>
    <m/>
    <m/>
    <s v=" Product quality concerns"/>
    <m/>
    <m/>
    <m/>
    <s v="Not comfortable using apps"/>
    <m/>
    <m/>
    <s v=" Payment safety concerns"/>
    <m/>
    <s v="No"/>
    <s v="No"/>
    <s v="No"/>
    <s v="Disagree"/>
    <s v="Disagree"/>
    <s v="Disagree"/>
    <s v="Disagree"/>
    <s v="Disagree"/>
    <s v="Disagree"/>
    <s v="Disagree"/>
  </r>
  <r>
    <n v="70"/>
    <x v="2"/>
    <x v="0"/>
    <x v="1"/>
    <x v="4"/>
    <x v="0"/>
    <s v="Yes"/>
    <x v="1"/>
    <n v="0"/>
    <m/>
    <m/>
    <m/>
    <m/>
    <m/>
    <m/>
    <x v="1"/>
    <m/>
    <m/>
    <m/>
    <m/>
    <m/>
    <m/>
    <m/>
    <m/>
    <m/>
    <m/>
    <m/>
    <m/>
    <m/>
    <m/>
    <m/>
    <m/>
    <m/>
    <m/>
    <m/>
    <m/>
    <m/>
    <m/>
    <m/>
    <s v=" Delivery charges are high"/>
    <s v=" Product quality concerns"/>
    <m/>
    <s v="I prefer buying from local stores"/>
    <s v=" Do no trust online delivery"/>
    <s v=" Not comfortable using apps"/>
    <s v=" Not aware how to use the apps"/>
    <m/>
    <s v=" Payment safety concerns"/>
    <m/>
    <s v="Yes"/>
    <s v="Yes"/>
    <s v="Yes"/>
    <s v="Disagree"/>
    <s v="Neutral"/>
    <s v="Neutral"/>
    <s v="Neutral"/>
    <s v="Disagree"/>
    <s v="Neutral"/>
    <s v="Neutral"/>
  </r>
  <r>
    <n v="56"/>
    <x v="2"/>
    <x v="0"/>
    <x v="1"/>
    <x v="3"/>
    <x v="0"/>
    <s v="Yes"/>
    <x v="1"/>
    <n v="0"/>
    <m/>
    <m/>
    <m/>
    <m/>
    <m/>
    <m/>
    <x v="1"/>
    <m/>
    <m/>
    <m/>
    <m/>
    <m/>
    <m/>
    <m/>
    <m/>
    <m/>
    <m/>
    <m/>
    <m/>
    <m/>
    <m/>
    <m/>
    <m/>
    <m/>
    <m/>
    <m/>
    <m/>
    <m/>
    <m/>
    <m/>
    <m/>
    <m/>
    <m/>
    <m/>
    <m/>
    <m/>
    <m/>
    <m/>
    <m/>
    <m/>
    <s v="No"/>
    <s v="No"/>
    <s v="No"/>
    <s v="Disagree"/>
    <s v="Disagree"/>
    <s v="Neutral"/>
    <s v="Disagree"/>
    <s v="Neutral"/>
    <s v="Disagree"/>
    <s v="Neutral"/>
  </r>
  <r>
    <n v="50"/>
    <x v="2"/>
    <x v="2"/>
    <x v="2"/>
    <x v="1"/>
    <x v="0"/>
    <s v="Yes"/>
    <x v="0"/>
    <n v="1"/>
    <s v="Blinkit"/>
    <m/>
    <s v=" Swiggy Instamart"/>
    <m/>
    <m/>
    <m/>
    <x v="0"/>
    <s v="More than a year"/>
    <s v="₹200 - ₹400"/>
    <s v="Night"/>
    <s v="UPI"/>
    <s v="Groceries"/>
    <s v=" Snacks and Beverages"/>
    <s v=" Daily Essentials"/>
    <m/>
    <m/>
    <s v="Strongly Agree"/>
    <s v="Agree"/>
    <s v="Neutral"/>
    <s v="Agree"/>
    <s v="Neutral"/>
    <s v="Strongly Agree"/>
    <s v="Strongly Agree"/>
    <s v="Agree"/>
    <s v="Strongly Agree"/>
    <s v="Strongly Agree"/>
    <n v="4"/>
    <n v="5"/>
    <n v="5"/>
    <s v="Convenience"/>
    <m/>
    <m/>
    <m/>
    <m/>
    <m/>
    <m/>
    <m/>
    <m/>
    <m/>
    <m/>
    <m/>
    <m/>
    <m/>
    <m/>
    <m/>
    <m/>
    <m/>
    <m/>
    <m/>
    <m/>
  </r>
  <r>
    <n v="35"/>
    <x v="4"/>
    <x v="0"/>
    <x v="1"/>
    <x v="2"/>
    <x v="3"/>
    <s v="Yes"/>
    <x v="0"/>
    <n v="1"/>
    <s v="Blinkit"/>
    <m/>
    <s v=" Swiggy Instamart"/>
    <m/>
    <m/>
    <m/>
    <x v="2"/>
    <s v="3-6 months"/>
    <s v="Above ₹600"/>
    <s v="Evening"/>
    <s v="Cash on Delivery"/>
    <s v="Groceries"/>
    <s v=" Snacks and Beverages"/>
    <m/>
    <m/>
    <m/>
    <s v="Agree"/>
    <s v="Strongly Agree"/>
    <s v="Agree"/>
    <s v="Neutral"/>
    <s v="Disagree"/>
    <s v="Agree"/>
    <s v="Strongly Agree"/>
    <s v="Agree"/>
    <s v="Agree"/>
    <s v="Agree"/>
    <n v="4"/>
    <n v="4"/>
    <n v="5"/>
    <s v="Emergency Needs"/>
    <m/>
    <s v=" Product quality concerns"/>
    <s v=" No need for fast delivery"/>
    <s v="I prefer buying from local stores"/>
    <m/>
    <s v=" Not comfortable using apps"/>
    <m/>
    <m/>
    <m/>
    <m/>
    <m/>
    <m/>
    <m/>
    <m/>
    <m/>
    <m/>
    <m/>
    <m/>
    <m/>
    <m/>
  </r>
  <r>
    <n v="43"/>
    <x v="3"/>
    <x v="1"/>
    <x v="4"/>
    <x v="2"/>
    <x v="3"/>
    <s v="No"/>
    <x v="1"/>
    <n v="0"/>
    <m/>
    <m/>
    <m/>
    <m/>
    <m/>
    <m/>
    <x v="1"/>
    <m/>
    <m/>
    <m/>
    <m/>
    <m/>
    <m/>
    <m/>
    <m/>
    <m/>
    <m/>
    <m/>
    <m/>
    <m/>
    <m/>
    <m/>
    <m/>
    <m/>
    <m/>
    <m/>
    <m/>
    <m/>
    <m/>
    <m/>
    <m/>
    <s v=" Product quality concerns"/>
    <m/>
    <s v="I prefer buying from local stores"/>
    <s v=" Do no trust online delivery"/>
    <m/>
    <m/>
    <m/>
    <m/>
    <m/>
    <s v="No"/>
    <s v="No"/>
    <s v="Yes"/>
    <s v="Agree"/>
    <s v="Agree"/>
    <s v="Strongly Agree"/>
    <s v="Neutral"/>
    <s v="Disagree"/>
    <s v="Agree"/>
    <s v="Neutral"/>
  </r>
  <r>
    <n v="54"/>
    <x v="2"/>
    <x v="1"/>
    <x v="3"/>
    <x v="3"/>
    <x v="1"/>
    <s v="No"/>
    <x v="1"/>
    <n v="0"/>
    <m/>
    <m/>
    <m/>
    <m/>
    <m/>
    <m/>
    <x v="1"/>
    <m/>
    <m/>
    <m/>
    <m/>
    <m/>
    <m/>
    <m/>
    <m/>
    <m/>
    <m/>
    <m/>
    <m/>
    <m/>
    <m/>
    <m/>
    <m/>
    <m/>
    <m/>
    <m/>
    <m/>
    <m/>
    <m/>
    <m/>
    <s v="Delivery charges are high"/>
    <m/>
    <m/>
    <m/>
    <s v=" Do no trust online delivery"/>
    <s v=" Not comfortable using apps"/>
    <s v="Not aware how to use the apps"/>
    <m/>
    <m/>
    <m/>
    <s v="Maybe"/>
    <s v="No"/>
    <s v="Yes"/>
    <s v="Agree"/>
    <s v="Strongly Agree"/>
    <s v="Agree"/>
    <s v="Agree"/>
    <s v="Agree"/>
    <s v="Strongly Agree"/>
    <s v="Strongly Agree"/>
  </r>
  <r>
    <n v="53"/>
    <x v="2"/>
    <x v="0"/>
    <x v="1"/>
    <x v="1"/>
    <x v="3"/>
    <s v="Yes"/>
    <x v="1"/>
    <n v="0"/>
    <m/>
    <m/>
    <m/>
    <m/>
    <m/>
    <m/>
    <x v="1"/>
    <m/>
    <m/>
    <m/>
    <m/>
    <m/>
    <m/>
    <m/>
    <m/>
    <m/>
    <m/>
    <m/>
    <m/>
    <m/>
    <m/>
    <m/>
    <m/>
    <m/>
    <m/>
    <m/>
    <m/>
    <m/>
    <m/>
    <m/>
    <m/>
    <m/>
    <m/>
    <m/>
    <m/>
    <m/>
    <m/>
    <m/>
    <m/>
    <m/>
    <s v="No"/>
    <s v="Maybe"/>
    <s v="Yes"/>
    <s v="Neutral"/>
    <s v="Agree"/>
    <s v="Neutral"/>
    <s v="Agree"/>
    <s v="Strongly Agree"/>
    <s v="Neutral"/>
    <s v="Strongly Agree"/>
  </r>
  <r>
    <n v="55"/>
    <x v="2"/>
    <x v="0"/>
    <x v="3"/>
    <x v="2"/>
    <x v="3"/>
    <s v="Yes"/>
    <x v="1"/>
    <n v="0"/>
    <m/>
    <m/>
    <m/>
    <m/>
    <m/>
    <m/>
    <x v="1"/>
    <m/>
    <m/>
    <m/>
    <m/>
    <m/>
    <m/>
    <m/>
    <m/>
    <m/>
    <m/>
    <m/>
    <m/>
    <m/>
    <m/>
    <m/>
    <m/>
    <m/>
    <m/>
    <m/>
    <m/>
    <m/>
    <m/>
    <m/>
    <m/>
    <m/>
    <m/>
    <m/>
    <m/>
    <m/>
    <m/>
    <m/>
    <m/>
    <m/>
    <s v="Yes"/>
    <s v="Yes"/>
    <s v="Yes"/>
    <s v="Strongly Agree"/>
    <s v="Agree"/>
    <s v="Strongly Agree"/>
    <s v="Agree"/>
    <s v="Strongly Agree"/>
    <s v="Agree"/>
    <s v="Strongly Agree"/>
  </r>
  <r>
    <n v="44"/>
    <x v="3"/>
    <x v="0"/>
    <x v="2"/>
    <x v="1"/>
    <x v="0"/>
    <s v="Yes"/>
    <x v="0"/>
    <n v="1"/>
    <m/>
    <s v="Zepto"/>
    <s v=" Swiggy Instamart"/>
    <m/>
    <m/>
    <m/>
    <x v="2"/>
    <s v="More than a year"/>
    <s v="Above ₹600"/>
    <s v="Evening"/>
    <s v="UPI"/>
    <m/>
    <s v="Snacks and Beverages"/>
    <s v=" Daily Essentials"/>
    <m/>
    <s v=" Medicines"/>
    <s v="Strongly Agree"/>
    <s v="Agree"/>
    <s v="Strongly Agree"/>
    <s v="Agree"/>
    <s v="Strongly Agree"/>
    <s v="Strongly Agree"/>
    <s v="Agree"/>
    <s v="Agree"/>
    <s v="Strongly Agree"/>
    <s v="Agree"/>
    <n v="4"/>
    <n v="4"/>
    <n v="5"/>
    <s v="Improved Customer Support"/>
    <m/>
    <m/>
    <m/>
    <m/>
    <m/>
    <m/>
    <m/>
    <m/>
    <m/>
    <m/>
    <m/>
    <m/>
    <m/>
    <m/>
    <m/>
    <m/>
    <m/>
    <m/>
    <m/>
    <m/>
  </r>
  <r>
    <n v="48"/>
    <x v="3"/>
    <x v="1"/>
    <x v="0"/>
    <x v="3"/>
    <x v="0"/>
    <s v="Yes"/>
    <x v="0"/>
    <n v="1"/>
    <m/>
    <s v="Zepto"/>
    <m/>
    <m/>
    <m/>
    <m/>
    <x v="3"/>
    <s v="3-6 months"/>
    <s v="Below ₹200"/>
    <s v="Afternoon"/>
    <s v="Cash on Delivery"/>
    <s v="Groceries"/>
    <s v=" Snacks and Beverages"/>
    <m/>
    <m/>
    <m/>
    <s v="Agree"/>
    <s v="Agree"/>
    <s v="Strongly Agree"/>
    <s v="Strongly Agree"/>
    <s v="Strongly Agree"/>
    <s v="Neutral"/>
    <s v="Agree"/>
    <s v="Neutral"/>
    <s v="Disagree"/>
    <s v="Strongly Disagree"/>
    <n v="4"/>
    <n v="5"/>
    <n v="3"/>
    <s v="Product Availability"/>
    <m/>
    <m/>
    <s v=" No need for fast delivery"/>
    <s v="I prefer buying from local stores"/>
    <m/>
    <s v=" Not comfortable using apps"/>
    <m/>
    <m/>
    <m/>
    <m/>
    <m/>
    <m/>
    <m/>
    <m/>
    <m/>
    <m/>
    <m/>
    <m/>
    <m/>
    <m/>
  </r>
  <r>
    <n v="57"/>
    <x v="2"/>
    <x v="2"/>
    <x v="4"/>
    <x v="2"/>
    <x v="1"/>
    <s v="No"/>
    <x v="1"/>
    <n v="0"/>
    <m/>
    <m/>
    <m/>
    <m/>
    <m/>
    <m/>
    <x v="1"/>
    <m/>
    <m/>
    <m/>
    <m/>
    <m/>
    <m/>
    <m/>
    <m/>
    <m/>
    <m/>
    <m/>
    <m/>
    <m/>
    <m/>
    <m/>
    <m/>
    <m/>
    <m/>
    <m/>
    <m/>
    <m/>
    <m/>
    <m/>
    <s v=" Delivery charges are high"/>
    <m/>
    <m/>
    <s v="I prefer buying from local stores"/>
    <m/>
    <s v=" Not comfortable using apps"/>
    <m/>
    <m/>
    <s v=" Payment safety concerns"/>
    <m/>
    <s v="No"/>
    <s v="No"/>
    <s v="No"/>
    <s v="Strongly Disagree"/>
    <s v="Disagree"/>
    <s v="Disagree"/>
    <s v="Disagree"/>
    <s v="Strongly Disagree"/>
    <s v="Strongly Disagree"/>
    <s v="Disagree"/>
  </r>
  <r>
    <n v="60"/>
    <x v="2"/>
    <x v="0"/>
    <x v="4"/>
    <x v="2"/>
    <x v="0"/>
    <s v="Yes"/>
    <x v="1"/>
    <n v="0"/>
    <m/>
    <m/>
    <m/>
    <m/>
    <m/>
    <m/>
    <x v="1"/>
    <m/>
    <m/>
    <m/>
    <m/>
    <m/>
    <m/>
    <m/>
    <m/>
    <m/>
    <m/>
    <m/>
    <m/>
    <m/>
    <m/>
    <m/>
    <m/>
    <m/>
    <m/>
    <m/>
    <m/>
    <m/>
    <m/>
    <m/>
    <m/>
    <m/>
    <m/>
    <m/>
    <m/>
    <m/>
    <m/>
    <m/>
    <m/>
    <m/>
    <s v="Maybe"/>
    <s v="Maybe"/>
    <s v="Yes"/>
    <s v="Agree"/>
    <s v="Agree"/>
    <s v="Disagree"/>
    <s v="Neutral"/>
    <s v="Disagree"/>
    <s v="Disagree"/>
    <s v="Agree"/>
  </r>
  <r>
    <n v="43"/>
    <x v="3"/>
    <x v="1"/>
    <x v="3"/>
    <x v="3"/>
    <x v="3"/>
    <s v="Yes"/>
    <x v="0"/>
    <n v="1"/>
    <m/>
    <m/>
    <m/>
    <s v="Other"/>
    <m/>
    <m/>
    <x v="4"/>
    <s v="Less than 3 months"/>
    <s v="₹200 - ₹400"/>
    <s v="Afternoon"/>
    <s v="Cash on Delivery"/>
    <s v="Groceries"/>
    <m/>
    <m/>
    <m/>
    <m/>
    <s v="Strongly Agree"/>
    <s v="Agree"/>
    <s v="Neutral"/>
    <s v="Agree"/>
    <s v="Strongly Agree"/>
    <s v="Agree"/>
    <s v="Neutral"/>
    <s v="Agree"/>
    <s v="Strongly Agree"/>
    <s v="Neutral"/>
    <n v="3"/>
    <n v="4"/>
    <n v="4"/>
    <s v="Fast Delivery"/>
    <m/>
    <m/>
    <m/>
    <m/>
    <m/>
    <m/>
    <m/>
    <m/>
    <m/>
    <m/>
    <m/>
    <m/>
    <m/>
    <m/>
    <m/>
    <m/>
    <m/>
    <m/>
    <m/>
    <m/>
  </r>
  <r>
    <n v="47"/>
    <x v="3"/>
    <x v="1"/>
    <x v="2"/>
    <x v="1"/>
    <x v="3"/>
    <s v="Yes"/>
    <x v="0"/>
    <n v="1"/>
    <s v="Blinkit"/>
    <m/>
    <m/>
    <s v=" Big basket "/>
    <m/>
    <m/>
    <x v="0"/>
    <s v="More than a year"/>
    <s v="₹200 - ₹400"/>
    <s v="Evening"/>
    <s v="UPI"/>
    <s v="Groceries"/>
    <s v=" Snacks and Beverages"/>
    <s v=" Daily Essentials"/>
    <s v=" Personal Care"/>
    <m/>
    <s v="Strongly Agree"/>
    <s v="Strongly Agree"/>
    <s v="Strongly Agree"/>
    <s v="Strongly Agree"/>
    <s v="Strongly Agree"/>
    <s v="Strongly Agree"/>
    <s v="Strongly Agree"/>
    <s v="Agree"/>
    <s v="Strongly Agree"/>
    <s v="Strongly Agree"/>
    <n v="5"/>
    <n v="5"/>
    <n v="5"/>
    <s v="Product Availability"/>
    <m/>
    <m/>
    <m/>
    <m/>
    <m/>
    <m/>
    <m/>
    <m/>
    <m/>
    <m/>
    <m/>
    <m/>
    <m/>
    <m/>
    <m/>
    <m/>
    <m/>
    <m/>
    <m/>
    <m/>
  </r>
  <r>
    <n v="41"/>
    <x v="4"/>
    <x v="2"/>
    <x v="1"/>
    <x v="1"/>
    <x v="3"/>
    <s v="Yes"/>
    <x v="0"/>
    <n v="1"/>
    <s v="Blinkit"/>
    <m/>
    <s v=" Swiggy Instamart"/>
    <m/>
    <m/>
    <m/>
    <x v="0"/>
    <s v="6-12 months"/>
    <s v="₹400 - ₹600"/>
    <s v="Night"/>
    <s v="Wallets (Paytm, PhonePe, etc.)"/>
    <m/>
    <m/>
    <s v="Daily Essentials"/>
    <s v=" Personal Care"/>
    <m/>
    <s v="Strongly Agree"/>
    <s v="Agree"/>
    <s v="Agree"/>
    <s v="Agree"/>
    <s v="Strongly Agree"/>
    <s v="Strongly Agree"/>
    <s v="Strongly Agree"/>
    <s v="Strongly Agree"/>
    <s v="Agree"/>
    <s v="Agree"/>
    <n v="4"/>
    <n v="5"/>
    <n v="5"/>
    <s v="Better Offers"/>
    <m/>
    <m/>
    <m/>
    <m/>
    <m/>
    <m/>
    <m/>
    <m/>
    <m/>
    <m/>
    <m/>
    <m/>
    <m/>
    <m/>
    <m/>
    <m/>
    <m/>
    <m/>
    <m/>
    <m/>
  </r>
  <r>
    <n v="32"/>
    <x v="1"/>
    <x v="1"/>
    <x v="1"/>
    <x v="2"/>
    <x v="3"/>
    <s v="Yes"/>
    <x v="0"/>
    <n v="1"/>
    <s v="Blinkit"/>
    <s v=" Zepto"/>
    <m/>
    <m/>
    <m/>
    <m/>
    <x v="3"/>
    <s v="3-6 months"/>
    <s v="₹200 - ₹400"/>
    <s v="Afternoon"/>
    <s v="Cash on Delivery"/>
    <s v="Groceries"/>
    <m/>
    <s v=" Daily Essentials"/>
    <m/>
    <s v=" Medicines"/>
    <s v="Agree"/>
    <s v="Strongly Agree"/>
    <s v="Agree"/>
    <s v="Agree"/>
    <s v="Neutral"/>
    <s v="Neutral"/>
    <s v="Agree"/>
    <s v="Disagree"/>
    <s v="Agree"/>
    <s v="Agree"/>
    <n v="4"/>
    <n v="5"/>
    <n v="3"/>
    <s v="Convenience"/>
    <m/>
    <m/>
    <m/>
    <s v="I prefer buying from local stores"/>
    <m/>
    <m/>
    <m/>
    <m/>
    <s v=" Payment safety concerns"/>
    <m/>
    <m/>
    <m/>
    <m/>
    <m/>
    <m/>
    <m/>
    <m/>
    <m/>
    <m/>
    <m/>
  </r>
  <r>
    <n v="54"/>
    <x v="2"/>
    <x v="1"/>
    <x v="3"/>
    <x v="2"/>
    <x v="1"/>
    <s v="Yes"/>
    <x v="1"/>
    <n v="0"/>
    <m/>
    <m/>
    <m/>
    <m/>
    <m/>
    <m/>
    <x v="1"/>
    <m/>
    <m/>
    <m/>
    <m/>
    <m/>
    <m/>
    <m/>
    <m/>
    <m/>
    <m/>
    <m/>
    <m/>
    <m/>
    <m/>
    <m/>
    <m/>
    <m/>
    <m/>
    <m/>
    <m/>
    <m/>
    <m/>
    <m/>
    <m/>
    <s v=" Product quality concerns"/>
    <m/>
    <s v="I prefer buying from local stores"/>
    <m/>
    <s v=" Not comfortable using apps"/>
    <m/>
    <m/>
    <m/>
    <m/>
    <s v="No"/>
    <s v="No"/>
    <s v="No"/>
    <s v="Strongly Disagree"/>
    <s v="Strongly Disagree"/>
    <s v="Strongly Disagree"/>
    <s v="Strongly Disagree"/>
    <s v="Strongly Disagree"/>
    <s v="Strongly Disagree"/>
    <s v="Strongly Disagree"/>
  </r>
  <r>
    <n v="32"/>
    <x v="1"/>
    <x v="0"/>
    <x v="1"/>
    <x v="1"/>
    <x v="1"/>
    <s v="Yes"/>
    <x v="1"/>
    <n v="0"/>
    <m/>
    <m/>
    <m/>
    <m/>
    <m/>
    <m/>
    <x v="1"/>
    <m/>
    <m/>
    <m/>
    <m/>
    <m/>
    <m/>
    <m/>
    <m/>
    <m/>
    <m/>
    <m/>
    <m/>
    <m/>
    <m/>
    <m/>
    <m/>
    <m/>
    <m/>
    <m/>
    <m/>
    <m/>
    <m/>
    <m/>
    <m/>
    <m/>
    <m/>
    <s v="I prefer buying from local stores"/>
    <m/>
    <m/>
    <s v=" Not aware how to use the apps"/>
    <m/>
    <m/>
    <m/>
    <s v="Maybe"/>
    <s v="Yes"/>
    <s v="Yes"/>
    <s v="Agree"/>
    <s v="Strongly Agree"/>
    <s v="Strongly Agree"/>
    <s v="Agree"/>
    <s v="Neutral"/>
    <s v="Agree"/>
    <s v="Agree"/>
  </r>
  <r>
    <n v="55"/>
    <x v="2"/>
    <x v="0"/>
    <x v="0"/>
    <x v="2"/>
    <x v="3"/>
    <s v="Yes"/>
    <x v="1"/>
    <n v="0"/>
    <m/>
    <m/>
    <m/>
    <m/>
    <m/>
    <m/>
    <x v="1"/>
    <m/>
    <m/>
    <m/>
    <m/>
    <m/>
    <m/>
    <m/>
    <m/>
    <m/>
    <m/>
    <m/>
    <m/>
    <m/>
    <m/>
    <m/>
    <m/>
    <m/>
    <m/>
    <m/>
    <m/>
    <m/>
    <m/>
    <m/>
    <m/>
    <m/>
    <s v=" No need for fast delivery"/>
    <m/>
    <s v="Do no trust online delivery"/>
    <m/>
    <m/>
    <m/>
    <m/>
    <m/>
    <s v="No"/>
    <s v="No"/>
    <s v="Yes"/>
    <s v="Neutral"/>
    <s v="Neutral"/>
    <s v="Neutral"/>
    <s v="Neutral"/>
    <s v="Neutral"/>
    <s v="Neutral"/>
    <s v="Neutral"/>
  </r>
  <r>
    <n v="43"/>
    <x v="3"/>
    <x v="0"/>
    <x v="2"/>
    <x v="1"/>
    <x v="3"/>
    <s v="Yes"/>
    <x v="1"/>
    <n v="0"/>
    <m/>
    <m/>
    <m/>
    <m/>
    <m/>
    <m/>
    <x v="1"/>
    <m/>
    <m/>
    <m/>
    <m/>
    <m/>
    <m/>
    <m/>
    <m/>
    <m/>
    <m/>
    <m/>
    <m/>
    <m/>
    <m/>
    <m/>
    <m/>
    <m/>
    <m/>
    <m/>
    <m/>
    <m/>
    <m/>
    <m/>
    <m/>
    <m/>
    <m/>
    <m/>
    <m/>
    <m/>
    <s v="Not aware how to use the apps"/>
    <m/>
    <m/>
    <m/>
    <s v="No"/>
    <s v="Maybe"/>
    <s v="Yes"/>
    <s v="Agree"/>
    <s v="Agree"/>
    <s v="Strongly Agree"/>
    <s v="Agree"/>
    <s v="Neutral"/>
    <s v="Agree"/>
    <s v="Strongly Agree"/>
  </r>
  <r>
    <n v="63"/>
    <x v="2"/>
    <x v="0"/>
    <x v="2"/>
    <x v="4"/>
    <x v="0"/>
    <s v="Yes"/>
    <x v="1"/>
    <n v="0"/>
    <m/>
    <m/>
    <m/>
    <m/>
    <m/>
    <m/>
    <x v="1"/>
    <m/>
    <m/>
    <m/>
    <m/>
    <m/>
    <m/>
    <m/>
    <m/>
    <m/>
    <m/>
    <m/>
    <m/>
    <m/>
    <m/>
    <m/>
    <m/>
    <m/>
    <m/>
    <m/>
    <m/>
    <m/>
    <m/>
    <m/>
    <m/>
    <s v="Product quality concerns"/>
    <m/>
    <m/>
    <m/>
    <m/>
    <m/>
    <m/>
    <m/>
    <m/>
    <s v="Maybe"/>
    <s v="No"/>
    <s v="Yes"/>
    <s v="Agree"/>
    <s v="Agree"/>
    <s v="Agree"/>
    <s v="Disagree"/>
    <s v="Neutral"/>
    <s v="Neutral"/>
    <s v="Strongly Agree"/>
  </r>
  <r>
    <n v="26"/>
    <x v="1"/>
    <x v="0"/>
    <x v="0"/>
    <x v="1"/>
    <x v="1"/>
    <s v="Yes"/>
    <x v="1"/>
    <n v="0"/>
    <m/>
    <m/>
    <m/>
    <m/>
    <m/>
    <m/>
    <x v="1"/>
    <m/>
    <m/>
    <m/>
    <m/>
    <m/>
    <m/>
    <m/>
    <m/>
    <m/>
    <m/>
    <m/>
    <m/>
    <m/>
    <m/>
    <m/>
    <m/>
    <m/>
    <m/>
    <m/>
    <m/>
    <m/>
    <m/>
    <m/>
    <m/>
    <s v=" Product quality concerns"/>
    <m/>
    <s v="I prefer buying from local stores"/>
    <m/>
    <m/>
    <m/>
    <m/>
    <m/>
    <m/>
    <s v="Maybe"/>
    <s v="Yes"/>
    <s v="No"/>
    <s v="Strongly Agree"/>
    <s v="Strongly Agree"/>
    <s v="Neutral"/>
    <s v="Strongly Agree"/>
    <s v="Neutral"/>
    <s v="Strongly Agree"/>
    <s v="Strongly Agree"/>
  </r>
  <r>
    <n v="34"/>
    <x v="4"/>
    <x v="0"/>
    <x v="0"/>
    <x v="1"/>
    <x v="1"/>
    <s v="Yes"/>
    <x v="1"/>
    <n v="0"/>
    <m/>
    <m/>
    <m/>
    <m/>
    <m/>
    <m/>
    <x v="1"/>
    <m/>
    <m/>
    <m/>
    <m/>
    <m/>
    <m/>
    <m/>
    <m/>
    <m/>
    <m/>
    <m/>
    <m/>
    <m/>
    <m/>
    <m/>
    <m/>
    <m/>
    <m/>
    <m/>
    <m/>
    <m/>
    <m/>
    <m/>
    <m/>
    <m/>
    <m/>
    <s v="I prefer buying from local stores"/>
    <m/>
    <m/>
    <s v=" Not aware how to use the apps"/>
    <m/>
    <m/>
    <m/>
    <s v="Maybe"/>
    <s v="Maybe"/>
    <s v="Yes"/>
    <s v="Agree"/>
    <s v="Agree"/>
    <s v="Neutral"/>
    <s v="Strongly Agree"/>
    <s v="Neutral"/>
    <s v="Strongly Agree"/>
    <s v="Agree"/>
  </r>
  <r>
    <n v="57"/>
    <x v="2"/>
    <x v="0"/>
    <x v="0"/>
    <x v="2"/>
    <x v="0"/>
    <s v="Yes"/>
    <x v="1"/>
    <n v="0"/>
    <m/>
    <m/>
    <m/>
    <m/>
    <m/>
    <m/>
    <x v="1"/>
    <m/>
    <m/>
    <m/>
    <m/>
    <m/>
    <m/>
    <m/>
    <m/>
    <m/>
    <m/>
    <m/>
    <m/>
    <m/>
    <m/>
    <m/>
    <m/>
    <m/>
    <m/>
    <m/>
    <m/>
    <m/>
    <m/>
    <m/>
    <m/>
    <m/>
    <m/>
    <m/>
    <s v=" Do no trust online delivery"/>
    <s v="Not comfortable using apps"/>
    <m/>
    <m/>
    <m/>
    <m/>
    <s v="Yes"/>
    <s v="No"/>
    <s v="Yes"/>
    <s v="Neutral"/>
    <s v="Neutral"/>
    <s v="Strongly Agree"/>
    <s v="Neutral"/>
    <s v="Neutral"/>
    <s v="Neutral"/>
    <s v="Strongly Agree"/>
  </r>
  <r>
    <n v="42"/>
    <x v="3"/>
    <x v="0"/>
    <x v="2"/>
    <x v="1"/>
    <x v="3"/>
    <s v="Yes"/>
    <x v="1"/>
    <n v="0"/>
    <m/>
    <m/>
    <m/>
    <m/>
    <m/>
    <m/>
    <x v="1"/>
    <m/>
    <m/>
    <m/>
    <m/>
    <m/>
    <m/>
    <m/>
    <m/>
    <m/>
    <m/>
    <m/>
    <m/>
    <m/>
    <m/>
    <m/>
    <m/>
    <m/>
    <m/>
    <m/>
    <m/>
    <m/>
    <m/>
    <m/>
    <m/>
    <s v=" Product quality concerns"/>
    <m/>
    <m/>
    <s v=" Do no trust online delivery"/>
    <s v="Not comfortable using apps"/>
    <m/>
    <m/>
    <m/>
    <m/>
    <s v="No"/>
    <s v="No"/>
    <s v="Yes"/>
    <s v="Agree"/>
    <s v="Agree"/>
    <s v="Neutral"/>
    <s v="Agree"/>
    <s v="Neutral"/>
    <s v="Agree"/>
    <s v="Strongly Agree"/>
  </r>
  <r>
    <n v="61"/>
    <x v="2"/>
    <x v="0"/>
    <x v="0"/>
    <x v="4"/>
    <x v="3"/>
    <s v="Yes"/>
    <x v="1"/>
    <n v="0"/>
    <m/>
    <m/>
    <m/>
    <m/>
    <m/>
    <m/>
    <x v="1"/>
    <m/>
    <m/>
    <m/>
    <m/>
    <m/>
    <m/>
    <m/>
    <m/>
    <m/>
    <m/>
    <m/>
    <m/>
    <m/>
    <m/>
    <m/>
    <m/>
    <m/>
    <m/>
    <m/>
    <m/>
    <m/>
    <m/>
    <m/>
    <m/>
    <m/>
    <m/>
    <m/>
    <m/>
    <m/>
    <m/>
    <m/>
    <m/>
    <m/>
    <s v="No"/>
    <s v="Maybe"/>
    <s v="Yes"/>
    <s v="Strongly Agree"/>
    <s v="Strongly Agree"/>
    <s v="Agree"/>
    <s v="Strongly Agree"/>
    <s v="Neutral"/>
    <s v="Agree"/>
    <s v="Strongly Agree"/>
  </r>
  <r>
    <n v="29"/>
    <x v="1"/>
    <x v="0"/>
    <x v="0"/>
    <x v="1"/>
    <x v="1"/>
    <s v="Yes"/>
    <x v="1"/>
    <n v="0"/>
    <m/>
    <m/>
    <m/>
    <m/>
    <m/>
    <m/>
    <x v="1"/>
    <m/>
    <m/>
    <m/>
    <m/>
    <m/>
    <m/>
    <m/>
    <m/>
    <m/>
    <m/>
    <m/>
    <m/>
    <m/>
    <m/>
    <m/>
    <m/>
    <m/>
    <m/>
    <m/>
    <m/>
    <m/>
    <m/>
    <m/>
    <m/>
    <m/>
    <m/>
    <s v="I prefer buying from local stores"/>
    <s v=" Do no trust online delivery"/>
    <m/>
    <m/>
    <m/>
    <m/>
    <m/>
    <s v="Yes"/>
    <s v="Yes"/>
    <s v="No"/>
    <s v="Agree"/>
    <s v="Agree"/>
    <s v="Neutral"/>
    <s v="Neutral"/>
    <s v="Strongly Agree"/>
    <s v="Agree"/>
    <s v="Neutral"/>
  </r>
  <r>
    <n v="48"/>
    <x v="3"/>
    <x v="0"/>
    <x v="0"/>
    <x v="1"/>
    <x v="3"/>
    <s v="Yes"/>
    <x v="1"/>
    <n v="0"/>
    <m/>
    <m/>
    <m/>
    <m/>
    <m/>
    <m/>
    <x v="1"/>
    <m/>
    <m/>
    <m/>
    <m/>
    <m/>
    <m/>
    <m/>
    <m/>
    <m/>
    <m/>
    <m/>
    <m/>
    <m/>
    <m/>
    <m/>
    <m/>
    <m/>
    <m/>
    <m/>
    <m/>
    <m/>
    <m/>
    <m/>
    <m/>
    <m/>
    <m/>
    <m/>
    <m/>
    <m/>
    <s v="Not aware how to use the apps"/>
    <m/>
    <m/>
    <m/>
    <s v="No"/>
    <s v="Maybe"/>
    <s v="Yes"/>
    <s v="Agree"/>
    <s v="Agree"/>
    <s v="Agree"/>
    <s v="Agree"/>
    <s v="Neutral"/>
    <s v="Agree"/>
    <s v="Strongly Agree"/>
  </r>
  <r>
    <n v="53"/>
    <x v="2"/>
    <x v="0"/>
    <x v="1"/>
    <x v="2"/>
    <x v="0"/>
    <s v="Yes"/>
    <x v="1"/>
    <n v="0"/>
    <m/>
    <m/>
    <m/>
    <m/>
    <m/>
    <m/>
    <x v="1"/>
    <m/>
    <m/>
    <m/>
    <m/>
    <m/>
    <m/>
    <m/>
    <m/>
    <m/>
    <m/>
    <m/>
    <m/>
    <m/>
    <m/>
    <m/>
    <m/>
    <m/>
    <m/>
    <m/>
    <m/>
    <m/>
    <m/>
    <m/>
    <m/>
    <m/>
    <m/>
    <s v="I prefer buying from local stores"/>
    <m/>
    <m/>
    <s v="Not aware how to use the apps"/>
    <m/>
    <m/>
    <m/>
    <s v="Maybe"/>
    <s v="Maybe"/>
    <s v="Yes"/>
    <s v="Agree"/>
    <s v="Agree"/>
    <s v="Strongly Agree"/>
    <s v="Agree"/>
    <s v="Neutral"/>
    <s v="Agree"/>
    <s v="Strongly Agree"/>
  </r>
  <r>
    <n v="37"/>
    <x v="4"/>
    <x v="0"/>
    <x v="3"/>
    <x v="2"/>
    <x v="0"/>
    <s v="Yes"/>
    <x v="1"/>
    <n v="0"/>
    <m/>
    <m/>
    <m/>
    <m/>
    <m/>
    <m/>
    <x v="1"/>
    <m/>
    <m/>
    <m/>
    <m/>
    <m/>
    <m/>
    <m/>
    <m/>
    <m/>
    <m/>
    <m/>
    <m/>
    <m/>
    <m/>
    <m/>
    <m/>
    <m/>
    <m/>
    <m/>
    <m/>
    <m/>
    <m/>
    <m/>
    <m/>
    <m/>
    <m/>
    <m/>
    <m/>
    <m/>
    <m/>
    <m/>
    <m/>
    <m/>
    <s v="Maybe"/>
    <s v="Yes"/>
    <s v="Yes"/>
    <s v="Agree"/>
    <s v="Agree"/>
    <s v="Agree"/>
    <s v="Agree"/>
    <s v="Neutral"/>
    <s v="Agree"/>
    <s v="Agree"/>
  </r>
  <r>
    <n v="65"/>
    <x v="2"/>
    <x v="0"/>
    <x v="0"/>
    <x v="4"/>
    <x v="3"/>
    <s v="No"/>
    <x v="1"/>
    <n v="0"/>
    <m/>
    <m/>
    <m/>
    <m/>
    <m/>
    <m/>
    <x v="1"/>
    <m/>
    <m/>
    <m/>
    <m/>
    <m/>
    <m/>
    <m/>
    <m/>
    <m/>
    <m/>
    <m/>
    <m/>
    <m/>
    <m/>
    <m/>
    <m/>
    <m/>
    <m/>
    <m/>
    <m/>
    <m/>
    <m/>
    <m/>
    <m/>
    <m/>
    <m/>
    <m/>
    <m/>
    <s v="Not comfortable using apps"/>
    <s v="Not aware how to use the apps"/>
    <m/>
    <m/>
    <m/>
    <s v="No"/>
    <s v="No"/>
    <s v="Yes"/>
    <s v="Neutral"/>
    <s v="Neutral"/>
    <s v="Neutral"/>
    <s v="Neutral"/>
    <s v="Neutral"/>
    <s v="Neutral"/>
    <s v="Neutral"/>
  </r>
  <r>
    <n v="44"/>
    <x v="3"/>
    <x v="0"/>
    <x v="0"/>
    <x v="1"/>
    <x v="3"/>
    <s v="Yes"/>
    <x v="1"/>
    <n v="0"/>
    <m/>
    <m/>
    <m/>
    <m/>
    <m/>
    <m/>
    <x v="1"/>
    <m/>
    <m/>
    <m/>
    <m/>
    <m/>
    <m/>
    <m/>
    <m/>
    <m/>
    <m/>
    <m/>
    <m/>
    <m/>
    <m/>
    <m/>
    <m/>
    <m/>
    <m/>
    <m/>
    <m/>
    <m/>
    <m/>
    <m/>
    <m/>
    <m/>
    <m/>
    <m/>
    <m/>
    <m/>
    <m/>
    <m/>
    <m/>
    <m/>
    <s v="Maybe"/>
    <s v="Yes"/>
    <s v="Yes"/>
    <s v="Agree"/>
    <s v="Agree"/>
    <s v="Agree"/>
    <s v="Agree"/>
    <s v="Neutral"/>
    <s v="Agree"/>
    <s v="Strongly Agree"/>
  </r>
  <r>
    <n v="51"/>
    <x v="2"/>
    <x v="0"/>
    <x v="0"/>
    <x v="1"/>
    <x v="3"/>
    <s v="No"/>
    <x v="1"/>
    <n v="0"/>
    <m/>
    <m/>
    <m/>
    <m/>
    <m/>
    <m/>
    <x v="1"/>
    <m/>
    <m/>
    <m/>
    <m/>
    <m/>
    <m/>
    <m/>
    <m/>
    <m/>
    <m/>
    <m/>
    <m/>
    <m/>
    <m/>
    <m/>
    <m/>
    <m/>
    <m/>
    <m/>
    <m/>
    <m/>
    <m/>
    <m/>
    <s v="Delivery charges are high"/>
    <m/>
    <m/>
    <m/>
    <s v=" Do no trust online delivery"/>
    <m/>
    <m/>
    <m/>
    <m/>
    <m/>
    <s v="No"/>
    <s v="No"/>
    <s v="No"/>
    <s v="Neutral"/>
    <s v="Neutral"/>
    <s v="Neutral"/>
    <s v="Neutral"/>
    <s v="Neutral"/>
    <s v="Neutral"/>
    <s v="Neutral"/>
  </r>
  <r>
    <n v="39"/>
    <x v="4"/>
    <x v="0"/>
    <x v="2"/>
    <x v="2"/>
    <x v="3"/>
    <s v="Yes"/>
    <x v="1"/>
    <n v="0"/>
    <m/>
    <m/>
    <m/>
    <m/>
    <m/>
    <m/>
    <x v="1"/>
    <m/>
    <m/>
    <m/>
    <m/>
    <m/>
    <m/>
    <m/>
    <m/>
    <m/>
    <m/>
    <m/>
    <m/>
    <m/>
    <m/>
    <m/>
    <m/>
    <m/>
    <m/>
    <m/>
    <m/>
    <m/>
    <m/>
    <m/>
    <m/>
    <m/>
    <m/>
    <m/>
    <m/>
    <m/>
    <s v="Not aware how to use the apps"/>
    <m/>
    <m/>
    <m/>
    <s v="Maybe"/>
    <s v="Maybe"/>
    <s v="Yes"/>
    <s v="Agree"/>
    <s v="Agree"/>
    <s v="Neutral"/>
    <s v="Agree"/>
    <s v="Neutral"/>
    <s v="Agree"/>
    <s v="Strongly Agree"/>
  </r>
  <r>
    <n v="58"/>
    <x v="2"/>
    <x v="0"/>
    <x v="0"/>
    <x v="4"/>
    <x v="0"/>
    <s v="No"/>
    <x v="1"/>
    <n v="0"/>
    <m/>
    <m/>
    <m/>
    <m/>
    <m/>
    <m/>
    <x v="1"/>
    <m/>
    <m/>
    <m/>
    <m/>
    <m/>
    <m/>
    <m/>
    <m/>
    <m/>
    <m/>
    <m/>
    <m/>
    <m/>
    <m/>
    <m/>
    <m/>
    <m/>
    <m/>
    <m/>
    <m/>
    <m/>
    <m/>
    <m/>
    <m/>
    <m/>
    <m/>
    <s v="I prefer buying from local stores"/>
    <m/>
    <m/>
    <m/>
    <m/>
    <m/>
    <m/>
    <s v="No"/>
    <s v="No"/>
    <s v="Yes"/>
    <s v="Neutral"/>
    <s v="Neutral"/>
    <s v="Neutral"/>
    <s v="Neutral"/>
    <s v="Neutral"/>
    <s v="Neutral"/>
    <s v="Neutral"/>
  </r>
  <r>
    <n v="46"/>
    <x v="3"/>
    <x v="0"/>
    <x v="0"/>
    <x v="1"/>
    <x v="3"/>
    <s v="Yes"/>
    <x v="1"/>
    <n v="0"/>
    <m/>
    <m/>
    <m/>
    <m/>
    <m/>
    <m/>
    <x v="1"/>
    <m/>
    <m/>
    <m/>
    <m/>
    <m/>
    <m/>
    <m/>
    <m/>
    <m/>
    <m/>
    <m/>
    <m/>
    <m/>
    <m/>
    <m/>
    <m/>
    <m/>
    <m/>
    <m/>
    <m/>
    <m/>
    <m/>
    <m/>
    <m/>
    <m/>
    <m/>
    <m/>
    <m/>
    <m/>
    <m/>
    <m/>
    <m/>
    <m/>
    <s v="Yes"/>
    <s v="Yes"/>
    <s v="Yes"/>
    <s v="Agree"/>
    <s v="Agree"/>
    <s v="Agree"/>
    <s v="Agree"/>
    <s v="Neutral"/>
    <s v="Agree"/>
    <s v="Strongly Agree"/>
  </r>
  <r>
    <n v="31"/>
    <x v="1"/>
    <x v="0"/>
    <x v="1"/>
    <x v="1"/>
    <x v="3"/>
    <s v="Yes"/>
    <x v="1"/>
    <n v="0"/>
    <m/>
    <m/>
    <m/>
    <m/>
    <m/>
    <m/>
    <x v="1"/>
    <m/>
    <m/>
    <m/>
    <m/>
    <m/>
    <m/>
    <m/>
    <m/>
    <m/>
    <m/>
    <m/>
    <m/>
    <m/>
    <m/>
    <m/>
    <m/>
    <m/>
    <m/>
    <m/>
    <m/>
    <m/>
    <m/>
    <m/>
    <m/>
    <m/>
    <m/>
    <m/>
    <m/>
    <m/>
    <s v="Not aware how to use the apps"/>
    <m/>
    <m/>
    <m/>
    <s v="Yes"/>
    <s v="Yes"/>
    <s v="Yes"/>
    <s v="Agree"/>
    <s v="Agree"/>
    <s v="Neutral"/>
    <s v="Agree"/>
    <s v="Neutral"/>
    <s v="Neutral"/>
    <s v="Strongly Agree"/>
  </r>
  <r>
    <n v="62"/>
    <x v="2"/>
    <x v="0"/>
    <x v="0"/>
    <x v="4"/>
    <x v="0"/>
    <s v="No"/>
    <x v="1"/>
    <n v="0"/>
    <m/>
    <m/>
    <m/>
    <m/>
    <m/>
    <m/>
    <x v="1"/>
    <m/>
    <m/>
    <m/>
    <m/>
    <m/>
    <m/>
    <m/>
    <m/>
    <m/>
    <m/>
    <m/>
    <m/>
    <m/>
    <m/>
    <m/>
    <m/>
    <m/>
    <m/>
    <m/>
    <m/>
    <m/>
    <m/>
    <m/>
    <m/>
    <m/>
    <m/>
    <s v="I prefer buying from local stores"/>
    <m/>
    <m/>
    <m/>
    <m/>
    <m/>
    <m/>
    <s v="Maybe"/>
    <s v="Maybe"/>
    <s v="Yes"/>
    <s v="Agree"/>
    <s v="Agree"/>
    <s v="Strongly Agree"/>
    <s v="Agree"/>
    <s v="Neutral"/>
    <s v="Agree"/>
    <s v="Agree"/>
  </r>
  <r>
    <n v="55"/>
    <x v="2"/>
    <x v="0"/>
    <x v="3"/>
    <x v="2"/>
    <x v="3"/>
    <s v="Yes"/>
    <x v="1"/>
    <n v="0"/>
    <m/>
    <m/>
    <m/>
    <m/>
    <m/>
    <m/>
    <x v="1"/>
    <m/>
    <m/>
    <m/>
    <m/>
    <m/>
    <m/>
    <m/>
    <m/>
    <m/>
    <m/>
    <m/>
    <m/>
    <m/>
    <m/>
    <m/>
    <m/>
    <m/>
    <m/>
    <m/>
    <m/>
    <m/>
    <m/>
    <m/>
    <m/>
    <m/>
    <m/>
    <m/>
    <m/>
    <m/>
    <s v="Not aware how to use the apps"/>
    <m/>
    <m/>
    <m/>
    <s v="Maybe"/>
    <s v="Yes"/>
    <s v="Yes"/>
    <s v="Agree"/>
    <s v="Agree"/>
    <s v="Agree"/>
    <s v="Agree"/>
    <s v="Neutral"/>
    <s v="Agree"/>
    <s v="Agree"/>
  </r>
  <r>
    <n v="41"/>
    <x v="4"/>
    <x v="0"/>
    <x v="0"/>
    <x v="1"/>
    <x v="1"/>
    <s v="Yes"/>
    <x v="1"/>
    <n v="0"/>
    <m/>
    <m/>
    <m/>
    <m/>
    <m/>
    <m/>
    <x v="1"/>
    <m/>
    <m/>
    <m/>
    <m/>
    <m/>
    <m/>
    <m/>
    <m/>
    <m/>
    <m/>
    <m/>
    <m/>
    <m/>
    <m/>
    <m/>
    <m/>
    <m/>
    <m/>
    <m/>
    <m/>
    <m/>
    <m/>
    <m/>
    <m/>
    <m/>
    <m/>
    <s v="I prefer buying from local stores"/>
    <m/>
    <m/>
    <s v=" Not aware how to use the apps"/>
    <m/>
    <m/>
    <m/>
    <s v="Yes"/>
    <s v="Yes"/>
    <s v="Yes"/>
    <s v="Agree"/>
    <s v="Agree"/>
    <s v="Agree"/>
    <s v="Agree"/>
    <s v="Neutral"/>
    <s v="Agree"/>
    <s v="Agree"/>
  </r>
  <r>
    <n v="68"/>
    <x v="2"/>
    <x v="0"/>
    <x v="0"/>
    <x v="4"/>
    <x v="3"/>
    <s v="Yes"/>
    <x v="1"/>
    <n v="0"/>
    <m/>
    <m/>
    <m/>
    <m/>
    <m/>
    <m/>
    <x v="1"/>
    <m/>
    <m/>
    <m/>
    <m/>
    <m/>
    <m/>
    <m/>
    <m/>
    <m/>
    <m/>
    <m/>
    <m/>
    <m/>
    <m/>
    <m/>
    <m/>
    <m/>
    <m/>
    <m/>
    <m/>
    <m/>
    <m/>
    <m/>
    <s v="Delivery charges are high"/>
    <m/>
    <m/>
    <m/>
    <m/>
    <m/>
    <m/>
    <m/>
    <m/>
    <m/>
    <s v="Maybe"/>
    <s v="No"/>
    <s v="Yes"/>
    <s v="Disagree"/>
    <s v="Disagree"/>
    <s v="Disagree"/>
    <s v="Disagree"/>
    <s v="Disagree"/>
    <s v="Disagree"/>
    <s v="Strongly Agree"/>
  </r>
  <r>
    <n v="27"/>
    <x v="1"/>
    <x v="0"/>
    <x v="0"/>
    <x v="1"/>
    <x v="4"/>
    <s v="Yes"/>
    <x v="1"/>
    <n v="0"/>
    <m/>
    <m/>
    <m/>
    <m/>
    <m/>
    <m/>
    <x v="1"/>
    <m/>
    <m/>
    <m/>
    <m/>
    <m/>
    <m/>
    <m/>
    <m/>
    <m/>
    <m/>
    <m/>
    <m/>
    <m/>
    <m/>
    <m/>
    <m/>
    <m/>
    <m/>
    <m/>
    <m/>
    <m/>
    <m/>
    <m/>
    <m/>
    <s v=" Product quality concerns"/>
    <m/>
    <m/>
    <s v="Do no trust online delivery"/>
    <m/>
    <m/>
    <m/>
    <s v=" Payment safety concerns"/>
    <m/>
    <s v="Maybe"/>
    <s v="Yes"/>
    <s v="No"/>
    <s v="Strongly Agree"/>
    <s v="Agree"/>
    <s v="Neutral"/>
    <s v="Agree"/>
    <s v="Strongly Disagree"/>
    <s v="Strongly Agree"/>
    <s v="Agree"/>
  </r>
  <r>
    <n v="49"/>
    <x v="3"/>
    <x v="0"/>
    <x v="0"/>
    <x v="1"/>
    <x v="1"/>
    <s v="Yes"/>
    <x v="1"/>
    <n v="0"/>
    <m/>
    <m/>
    <m/>
    <m/>
    <m/>
    <m/>
    <x v="1"/>
    <m/>
    <m/>
    <m/>
    <m/>
    <m/>
    <m/>
    <m/>
    <m/>
    <m/>
    <m/>
    <m/>
    <m/>
    <m/>
    <m/>
    <m/>
    <m/>
    <m/>
    <m/>
    <m/>
    <m/>
    <m/>
    <m/>
    <m/>
    <m/>
    <m/>
    <m/>
    <m/>
    <m/>
    <m/>
    <s v="Not aware how to use the apps"/>
    <m/>
    <m/>
    <m/>
    <s v="No"/>
    <s v="No"/>
    <s v="No"/>
    <s v="Strongly Disagree"/>
    <s v="Strongly Disagree"/>
    <s v="Strongly Disagree"/>
    <s v="Strongly Disagree"/>
    <s v="Strongly Disagree"/>
    <s v="Strongly Disagree"/>
    <s v="Agree"/>
  </r>
  <r>
    <n v="59"/>
    <x v="2"/>
    <x v="0"/>
    <x v="3"/>
    <x v="4"/>
    <x v="0"/>
    <s v="Yes"/>
    <x v="1"/>
    <n v="0"/>
    <m/>
    <m/>
    <m/>
    <m/>
    <m/>
    <m/>
    <x v="1"/>
    <m/>
    <m/>
    <m/>
    <m/>
    <m/>
    <m/>
    <m/>
    <m/>
    <m/>
    <m/>
    <m/>
    <m/>
    <m/>
    <m/>
    <m/>
    <m/>
    <m/>
    <m/>
    <m/>
    <m/>
    <m/>
    <m/>
    <m/>
    <s v="Delivery charges are high"/>
    <m/>
    <m/>
    <m/>
    <m/>
    <m/>
    <m/>
    <m/>
    <m/>
    <m/>
    <s v="Yes"/>
    <s v="No"/>
    <s v="Yes"/>
    <s v="Disagree"/>
    <s v="Disagree"/>
    <s v="Neutral"/>
    <s v="Disagree"/>
    <s v="Neutral"/>
    <s v="Disagree"/>
    <s v="Strongly Agree"/>
  </r>
  <r>
    <n v="36"/>
    <x v="4"/>
    <x v="0"/>
    <x v="3"/>
    <x v="1"/>
    <x v="2"/>
    <s v="Yes"/>
    <x v="1"/>
    <n v="0"/>
    <m/>
    <m/>
    <m/>
    <m/>
    <m/>
    <m/>
    <x v="1"/>
    <m/>
    <m/>
    <m/>
    <m/>
    <m/>
    <m/>
    <m/>
    <m/>
    <m/>
    <m/>
    <m/>
    <m/>
    <m/>
    <m/>
    <m/>
    <m/>
    <m/>
    <m/>
    <m/>
    <m/>
    <m/>
    <m/>
    <m/>
    <m/>
    <m/>
    <m/>
    <m/>
    <m/>
    <m/>
    <m/>
    <m/>
    <m/>
    <m/>
    <s v="Maybe"/>
    <s v="Maybe"/>
    <s v="No"/>
    <s v="Strongly Agree"/>
    <s v="Agree"/>
    <s v="Neutral"/>
    <s v="Strongly Agree"/>
    <s v="Neutral"/>
    <s v="Strongly Agree"/>
    <s v="Strongly Agree"/>
  </r>
  <r>
    <n v="45"/>
    <x v="3"/>
    <x v="1"/>
    <x v="1"/>
    <x v="3"/>
    <x v="0"/>
    <s v="Yes"/>
    <x v="0"/>
    <n v="1"/>
    <s v="Blinkit"/>
    <s v=" Zepto"/>
    <s v=" Swiggy Instamart"/>
    <m/>
    <m/>
    <m/>
    <x v="0"/>
    <s v="More than a year"/>
    <s v="Below ₹200"/>
    <s v="Morning"/>
    <s v="Cash on Delivery"/>
    <s v="Groceries"/>
    <m/>
    <m/>
    <m/>
    <m/>
    <s v="Neutral"/>
    <s v="Neutral"/>
    <s v="Neutral"/>
    <s v="Neutral"/>
    <s v="Neutral"/>
    <s v="Neutral"/>
    <s v="Neutral"/>
    <s v="Neutral"/>
    <s v="Neutral"/>
    <s v="Neutral"/>
    <n v="3"/>
    <n v="4"/>
    <n v="4"/>
    <s v="Fast Delivery"/>
    <m/>
    <m/>
    <m/>
    <m/>
    <m/>
    <m/>
    <m/>
    <m/>
    <m/>
    <m/>
    <m/>
    <m/>
    <m/>
    <m/>
    <m/>
    <m/>
    <m/>
    <m/>
    <m/>
    <m/>
  </r>
  <r>
    <n v="34"/>
    <x v="4"/>
    <x v="1"/>
    <x v="2"/>
    <x v="1"/>
    <x v="0"/>
    <s v="Yes"/>
    <x v="0"/>
    <n v="1"/>
    <s v="Blinkit"/>
    <s v=" Zepto"/>
    <s v=" Swiggy Instamart"/>
    <m/>
    <m/>
    <m/>
    <x v="2"/>
    <s v="Less than 3 months"/>
    <s v="Below ₹200"/>
    <s v="Evening"/>
    <s v="UPI"/>
    <m/>
    <s v="Snacks and Beverages"/>
    <m/>
    <m/>
    <m/>
    <s v="Neutral"/>
    <s v="Neutral"/>
    <s v="Neutral"/>
    <s v="Neutral"/>
    <s v="Neutral"/>
    <s v="Neutral"/>
    <s v="Neutral"/>
    <s v="Neutral"/>
    <s v="Neutral"/>
    <s v="Neutral"/>
    <n v="3"/>
    <n v="3"/>
    <n v="3"/>
    <s v="Convenience"/>
    <m/>
    <m/>
    <m/>
    <m/>
    <m/>
    <m/>
    <m/>
    <m/>
    <m/>
    <m/>
    <m/>
    <m/>
    <m/>
    <m/>
    <m/>
    <m/>
    <m/>
    <m/>
    <m/>
    <m/>
  </r>
  <r>
    <n v="40"/>
    <x v="4"/>
    <x v="1"/>
    <x v="0"/>
    <x v="3"/>
    <x v="0"/>
    <s v="Yes"/>
    <x v="0"/>
    <n v="1"/>
    <s v="Blinkit"/>
    <s v=" Zepto"/>
    <s v=" Swiggy Instamart"/>
    <m/>
    <m/>
    <m/>
    <x v="0"/>
    <s v="3-6 months"/>
    <s v="Below ₹200"/>
    <s v="Evening"/>
    <s v="Cash on Delivery"/>
    <s v="Groceries"/>
    <m/>
    <m/>
    <m/>
    <m/>
    <s v="Neutral"/>
    <s v="Neutral"/>
    <s v="Neutral"/>
    <s v="Neutral"/>
    <s v="Neutral"/>
    <s v="Neutral"/>
    <s v="Neutral"/>
    <s v="Neutral"/>
    <s v="Neutral"/>
    <s v="Neutral"/>
    <n v="4"/>
    <n v="3"/>
    <n v="4"/>
    <s v="Fast Delivery"/>
    <m/>
    <m/>
    <m/>
    <m/>
    <m/>
    <m/>
    <m/>
    <m/>
    <m/>
    <m/>
    <m/>
    <m/>
    <m/>
    <m/>
    <m/>
    <m/>
    <m/>
    <m/>
    <m/>
    <m/>
  </r>
  <r>
    <n v="56"/>
    <x v="2"/>
    <x v="1"/>
    <x v="0"/>
    <x v="3"/>
    <x v="0"/>
    <s v="Yes"/>
    <x v="0"/>
    <n v="1"/>
    <s v="Blinkit"/>
    <s v=" Zepto"/>
    <m/>
    <m/>
    <m/>
    <m/>
    <x v="0"/>
    <s v="6-12 months"/>
    <s v="Below ₹200"/>
    <s v="Evening"/>
    <s v="UPI"/>
    <s v="Groceries"/>
    <s v=" Snacks and Beverages"/>
    <m/>
    <s v=" Personal Care"/>
    <m/>
    <s v="Agree"/>
    <s v="Neutral"/>
    <s v="Neutral"/>
    <s v="Agree"/>
    <s v="Neutral"/>
    <s v="Agree"/>
    <s v="Agree"/>
    <s v="Agree"/>
    <s v="Neutral"/>
    <s v="Agree"/>
    <n v="4"/>
    <n v="3"/>
    <n v="3"/>
    <s v="Convenience"/>
    <m/>
    <m/>
    <m/>
    <m/>
    <m/>
    <m/>
    <m/>
    <m/>
    <m/>
    <m/>
    <m/>
    <m/>
    <m/>
    <m/>
    <m/>
    <m/>
    <m/>
    <m/>
    <m/>
    <m/>
  </r>
  <r>
    <n v="35"/>
    <x v="4"/>
    <x v="1"/>
    <x v="1"/>
    <x v="2"/>
    <x v="0"/>
    <s v="Yes"/>
    <x v="0"/>
    <n v="1"/>
    <s v="Blinkit"/>
    <s v=" Zepto"/>
    <m/>
    <m/>
    <m/>
    <m/>
    <x v="0"/>
    <s v="6-12 months"/>
    <s v="Below ₹200"/>
    <s v="Evening"/>
    <s v="Cash on Delivery"/>
    <s v="Groceries"/>
    <s v=" Snacks and Beverages"/>
    <s v=" Daily Essentials"/>
    <m/>
    <m/>
    <s v="Agree"/>
    <s v="Neutral"/>
    <s v="Agree"/>
    <s v="Agree"/>
    <s v="Agree"/>
    <s v="Agree"/>
    <s v="Agree"/>
    <s v="Agree"/>
    <s v="Agree"/>
    <s v="Agree"/>
    <n v="3"/>
    <n v="3"/>
    <n v="3"/>
    <s v="Emergency Needs"/>
    <m/>
    <m/>
    <m/>
    <m/>
    <m/>
    <m/>
    <m/>
    <m/>
    <m/>
    <m/>
    <m/>
    <m/>
    <m/>
    <m/>
    <m/>
    <m/>
    <m/>
    <m/>
    <m/>
    <m/>
  </r>
  <r>
    <n v="28"/>
    <x v="1"/>
    <x v="1"/>
    <x v="2"/>
    <x v="1"/>
    <x v="0"/>
    <s v="Yes"/>
    <x v="0"/>
    <n v="1"/>
    <s v="Blinkit"/>
    <s v=" Zepto"/>
    <s v=" Swiggy Instamart"/>
    <m/>
    <m/>
    <m/>
    <x v="0"/>
    <s v="More than a year"/>
    <s v="₹200 - ₹400"/>
    <s v="Night"/>
    <s v="UPI"/>
    <s v="Groceries"/>
    <s v=" Snacks and Beverages"/>
    <s v=" Daily Essentials"/>
    <s v=" Personal Care"/>
    <s v=" Medicines"/>
    <s v="Agree"/>
    <s v="Agree"/>
    <s v="Agree"/>
    <s v="Agree"/>
    <s v="Agree"/>
    <s v="Agree"/>
    <s v="Agree"/>
    <s v="Agree"/>
    <s v="Agree"/>
    <s v="Agree"/>
    <n v="4"/>
    <n v="3"/>
    <n v="4"/>
    <s v="Convenience"/>
    <m/>
    <m/>
    <m/>
    <m/>
    <m/>
    <m/>
    <m/>
    <m/>
    <m/>
    <m/>
    <m/>
    <m/>
    <m/>
    <m/>
    <m/>
    <m/>
    <m/>
    <m/>
    <m/>
    <m/>
  </r>
  <r>
    <n v="40"/>
    <x v="4"/>
    <x v="1"/>
    <x v="3"/>
    <x v="3"/>
    <x v="0"/>
    <s v="Yes"/>
    <x v="0"/>
    <n v="1"/>
    <s v="Blinkit"/>
    <s v=" Zepto"/>
    <s v=" Swiggy Instamart"/>
    <m/>
    <m/>
    <m/>
    <x v="3"/>
    <s v="Less than 3 months"/>
    <s v="Below ₹200"/>
    <s v="Morning"/>
    <s v="Cash on Delivery"/>
    <s v="Groceries"/>
    <m/>
    <m/>
    <m/>
    <m/>
    <s v="Neutral"/>
    <s v="Neutral"/>
    <s v="Neutral"/>
    <s v="Agree"/>
    <s v="Agree"/>
    <s v="Agree"/>
    <s v="Agree"/>
    <s v="Agree"/>
    <s v="Agree"/>
    <s v="Agree"/>
    <n v="4"/>
    <n v="4"/>
    <n v="3"/>
    <s v="Emergency Needs"/>
    <m/>
    <m/>
    <m/>
    <m/>
    <m/>
    <m/>
    <m/>
    <m/>
    <m/>
    <m/>
    <m/>
    <m/>
    <m/>
    <m/>
    <m/>
    <m/>
    <m/>
    <m/>
    <m/>
    <m/>
  </r>
  <r>
    <n v="40"/>
    <x v="4"/>
    <x v="1"/>
    <x v="0"/>
    <x v="3"/>
    <x v="3"/>
    <s v="Yes"/>
    <x v="0"/>
    <n v="1"/>
    <s v="Blinkit"/>
    <s v=" Zepto"/>
    <s v=" Swiggy Instamart"/>
    <m/>
    <m/>
    <m/>
    <x v="0"/>
    <s v="3-6 months"/>
    <s v="Below ₹200"/>
    <s v="Morning"/>
    <s v="UPI"/>
    <s v="Groceries"/>
    <m/>
    <m/>
    <m/>
    <m/>
    <s v="Disagree"/>
    <s v="Neutral"/>
    <s v="Agree"/>
    <s v="Neutral"/>
    <s v="Neutral"/>
    <s v="Disagree"/>
    <s v="Disagree"/>
    <s v="Disagree"/>
    <s v="Disagree"/>
    <s v="Disagree"/>
    <n v="2"/>
    <n v="3"/>
    <n v="2"/>
    <s v="Fast Delivery"/>
    <m/>
    <m/>
    <m/>
    <m/>
    <m/>
    <m/>
    <m/>
    <m/>
    <m/>
    <m/>
    <m/>
    <m/>
    <m/>
    <m/>
    <m/>
    <m/>
    <m/>
    <m/>
    <m/>
    <m/>
  </r>
  <r>
    <n v="28"/>
    <x v="1"/>
    <x v="1"/>
    <x v="0"/>
    <x v="3"/>
    <x v="1"/>
    <s v="Yes"/>
    <x v="0"/>
    <n v="1"/>
    <s v="Blinkit"/>
    <s v=" Zepto"/>
    <s v=" Swiggy Instamart"/>
    <m/>
    <m/>
    <m/>
    <x v="0"/>
    <s v="6-12 months"/>
    <s v="Below ₹200"/>
    <s v="Evening"/>
    <s v="UPI"/>
    <s v="Groceries"/>
    <m/>
    <m/>
    <m/>
    <m/>
    <s v="Neutral"/>
    <s v="Neutral"/>
    <s v="Neutral"/>
    <s v="Neutral"/>
    <s v="Disagree"/>
    <s v="Neutral"/>
    <s v="Neutral"/>
    <s v="Neutral"/>
    <s v="Disagree"/>
    <s v="Disagree"/>
    <n v="4"/>
    <n v="3"/>
    <n v="3"/>
    <s v="Emergency Needs"/>
    <m/>
    <m/>
    <m/>
    <m/>
    <m/>
    <m/>
    <m/>
    <m/>
    <m/>
    <m/>
    <m/>
    <m/>
    <m/>
    <m/>
    <m/>
    <m/>
    <m/>
    <m/>
    <m/>
    <m/>
  </r>
  <r>
    <n v="25"/>
    <x v="0"/>
    <x v="1"/>
    <x v="1"/>
    <x v="0"/>
    <x v="1"/>
    <s v="Yes"/>
    <x v="0"/>
    <n v="1"/>
    <s v="Blinkit"/>
    <m/>
    <m/>
    <m/>
    <m/>
    <m/>
    <x v="0"/>
    <s v="6-12 months"/>
    <s v="Below ₹200"/>
    <s v="Night"/>
    <s v="Cash on Delivery"/>
    <s v="Groceries"/>
    <s v=" Snacks and Beverages"/>
    <s v=" Daily Essentials"/>
    <s v=" Personal Care"/>
    <s v=" Medicines"/>
    <s v="Neutral"/>
    <s v="Agree"/>
    <s v="Agree"/>
    <s v="Agree"/>
    <s v="Agree"/>
    <s v="Agree"/>
    <s v="Neutral"/>
    <s v="Neutral"/>
    <s v="Neutral"/>
    <s v="Neutral"/>
    <n v="4"/>
    <n v="3"/>
    <n v="4"/>
    <s v="Product Availability"/>
    <m/>
    <m/>
    <m/>
    <m/>
    <m/>
    <m/>
    <m/>
    <m/>
    <m/>
    <m/>
    <m/>
    <m/>
    <m/>
    <m/>
    <m/>
    <m/>
    <m/>
    <m/>
    <m/>
    <m/>
  </r>
  <r>
    <n v="30"/>
    <x v="1"/>
    <x v="1"/>
    <x v="1"/>
    <x v="2"/>
    <x v="3"/>
    <s v="Yes"/>
    <x v="0"/>
    <n v="1"/>
    <m/>
    <s v="Zepto"/>
    <m/>
    <m/>
    <m/>
    <m/>
    <x v="3"/>
    <s v="6-12 months"/>
    <s v="Below ₹200"/>
    <s v="Night"/>
    <s v="Cash on Delivery"/>
    <m/>
    <s v="Snacks and Beverages"/>
    <s v=" Daily Essentials"/>
    <s v=" Personal Care"/>
    <m/>
    <s v="Disagree"/>
    <s v="Neutral"/>
    <s v="Neutral"/>
    <s v="Agree"/>
    <s v="Agree"/>
    <s v="Neutral"/>
    <s v="Neutral"/>
    <s v="Agree"/>
    <s v="Agree"/>
    <s v="Neutral"/>
    <n v="4"/>
    <n v="3"/>
    <n v="4"/>
    <s v="Product Availability"/>
    <m/>
    <m/>
    <m/>
    <m/>
    <m/>
    <m/>
    <m/>
    <m/>
    <m/>
    <m/>
    <m/>
    <m/>
    <m/>
    <m/>
    <m/>
    <m/>
    <m/>
    <m/>
    <m/>
    <m/>
  </r>
  <r>
    <n v="35"/>
    <x v="4"/>
    <x v="1"/>
    <x v="2"/>
    <x v="1"/>
    <x v="0"/>
    <s v="Yes"/>
    <x v="0"/>
    <n v="1"/>
    <s v="Blinkit"/>
    <m/>
    <m/>
    <m/>
    <m/>
    <m/>
    <x v="0"/>
    <s v="Less than 3 months"/>
    <s v="Below ₹200"/>
    <s v="Night"/>
    <s v="Cash on Delivery"/>
    <m/>
    <m/>
    <s v="Daily Essentials"/>
    <m/>
    <m/>
    <s v="Disagree"/>
    <s v="Neutral"/>
    <s v="Disagree"/>
    <s v="Neutral"/>
    <s v="Disagree"/>
    <s v="Neutral"/>
    <s v="Disagree"/>
    <s v="Neutral"/>
    <s v="Neutral"/>
    <s v="Neutral"/>
    <n v="4"/>
    <n v="3"/>
    <n v="4"/>
    <s v="Fast Delivery"/>
    <m/>
    <m/>
    <m/>
    <m/>
    <m/>
    <m/>
    <m/>
    <m/>
    <m/>
    <m/>
    <m/>
    <m/>
    <m/>
    <m/>
    <m/>
    <m/>
    <m/>
    <m/>
    <m/>
    <m/>
  </r>
  <r>
    <n v="27"/>
    <x v="1"/>
    <x v="1"/>
    <x v="0"/>
    <x v="1"/>
    <x v="3"/>
    <s v="Yes"/>
    <x v="0"/>
    <n v="1"/>
    <s v="Blinkit"/>
    <m/>
    <m/>
    <m/>
    <m/>
    <m/>
    <x v="0"/>
    <s v="Less than 3 months"/>
    <s v="Below ₹200"/>
    <s v="Morning"/>
    <s v="UPI"/>
    <s v="Groceries"/>
    <m/>
    <m/>
    <m/>
    <m/>
    <s v="Neutral"/>
    <s v="Neutral"/>
    <s v="Neutral"/>
    <s v="Neutral"/>
    <s v="Neutral"/>
    <s v="Disagree"/>
    <s v="Neutral"/>
    <s v="Neutral"/>
    <s v="Neutral"/>
    <s v="Neutral"/>
    <n v="4"/>
    <n v="3"/>
    <n v="4"/>
    <s v="Fast Delivery"/>
    <m/>
    <m/>
    <m/>
    <m/>
    <m/>
    <m/>
    <m/>
    <m/>
    <m/>
    <m/>
    <m/>
    <m/>
    <m/>
    <m/>
    <m/>
    <m/>
    <m/>
    <m/>
    <m/>
    <m/>
  </r>
  <r>
    <n v="38"/>
    <x v="4"/>
    <x v="1"/>
    <x v="1"/>
    <x v="1"/>
    <x v="1"/>
    <s v="Yes"/>
    <x v="0"/>
    <n v="1"/>
    <s v="Blinkit"/>
    <s v=" Zepto"/>
    <m/>
    <m/>
    <m/>
    <m/>
    <x v="3"/>
    <s v="Less than 3 months"/>
    <s v="Below ₹200"/>
    <s v="Morning"/>
    <s v="UPI"/>
    <s v="Groceries"/>
    <m/>
    <m/>
    <m/>
    <m/>
    <s v="Disagree"/>
    <s v="Neutral"/>
    <s v="Neutral"/>
    <s v="Disagree"/>
    <s v="Neutral"/>
    <s v="Neutral"/>
    <s v="Neutral"/>
    <s v="Disagree"/>
    <s v="Disagree"/>
    <s v="Disagree"/>
    <n v="2"/>
    <n v="2"/>
    <n v="3"/>
    <s v="Convenience"/>
    <m/>
    <m/>
    <m/>
    <m/>
    <m/>
    <m/>
    <m/>
    <m/>
    <m/>
    <m/>
    <m/>
    <m/>
    <m/>
    <m/>
    <m/>
    <m/>
    <m/>
    <m/>
    <m/>
    <m/>
  </r>
  <r>
    <n v="39"/>
    <x v="4"/>
    <x v="1"/>
    <x v="1"/>
    <x v="1"/>
    <x v="3"/>
    <s v="Yes"/>
    <x v="0"/>
    <n v="1"/>
    <m/>
    <s v="Zepto"/>
    <m/>
    <m/>
    <m/>
    <m/>
    <x v="3"/>
    <s v="3-6 months"/>
    <s v="Below ₹200"/>
    <s v="Morning"/>
    <s v="UPI"/>
    <s v="Groceries"/>
    <m/>
    <m/>
    <m/>
    <m/>
    <s v="Neutral"/>
    <s v="Neutral"/>
    <s v="Neutral"/>
    <s v="Neutral"/>
    <s v="Agree"/>
    <s v="Agree"/>
    <s v="Agree"/>
    <s v="Neutral"/>
    <s v="Neutral"/>
    <s v="Agree"/>
    <n v="4"/>
    <n v="3"/>
    <n v="3"/>
    <s v="Affordable Pricing"/>
    <m/>
    <m/>
    <m/>
    <m/>
    <m/>
    <m/>
    <m/>
    <m/>
    <m/>
    <m/>
    <m/>
    <m/>
    <m/>
    <m/>
    <m/>
    <m/>
    <m/>
    <m/>
    <m/>
    <m/>
  </r>
  <r>
    <n v="43"/>
    <x v="3"/>
    <x v="1"/>
    <x v="1"/>
    <x v="2"/>
    <x v="0"/>
    <s v="Yes"/>
    <x v="0"/>
    <n v="1"/>
    <s v="Blinkit"/>
    <m/>
    <m/>
    <m/>
    <m/>
    <m/>
    <x v="0"/>
    <s v="Less than 3 months"/>
    <s v="Below ₹200"/>
    <s v="Morning"/>
    <s v="UPI"/>
    <s v="Groceries"/>
    <m/>
    <m/>
    <m/>
    <m/>
    <s v="Neutral"/>
    <s v="Neutral"/>
    <s v="Agree"/>
    <s v="Agree"/>
    <s v="Agree"/>
    <s v="Neutral"/>
    <s v="Agree"/>
    <s v="Agree"/>
    <s v="Agree"/>
    <s v="Agree"/>
    <n v="3"/>
    <n v="4"/>
    <n v="3"/>
    <s v="Emergency Needs"/>
    <m/>
    <m/>
    <m/>
    <m/>
    <m/>
    <m/>
    <m/>
    <m/>
    <m/>
    <m/>
    <m/>
    <m/>
    <m/>
    <m/>
    <m/>
    <m/>
    <m/>
    <m/>
    <m/>
    <m/>
  </r>
  <r>
    <n v="34"/>
    <x v="4"/>
    <x v="1"/>
    <x v="2"/>
    <x v="3"/>
    <x v="0"/>
    <s v="Yes"/>
    <x v="0"/>
    <n v="1"/>
    <s v="Blinkit"/>
    <m/>
    <m/>
    <m/>
    <m/>
    <m/>
    <x v="0"/>
    <s v="More than a year"/>
    <s v="Below ₹200"/>
    <s v="Morning"/>
    <s v="UPI"/>
    <s v="Groceries"/>
    <m/>
    <m/>
    <m/>
    <m/>
    <s v="Disagree"/>
    <s v="Neutral"/>
    <s v="Disagree"/>
    <s v="Neutral"/>
    <s v="Agree"/>
    <s v="Strongly Agree"/>
    <s v="Agree"/>
    <s v="Agree"/>
    <s v="Agree"/>
    <s v="Agree"/>
    <n v="4"/>
    <n v="3"/>
    <n v="3"/>
    <s v="Product Availability"/>
    <m/>
    <m/>
    <m/>
    <m/>
    <m/>
    <m/>
    <m/>
    <m/>
    <m/>
    <m/>
    <m/>
    <m/>
    <m/>
    <m/>
    <m/>
    <m/>
    <m/>
    <m/>
    <m/>
    <m/>
  </r>
  <r>
    <n v="34"/>
    <x v="4"/>
    <x v="1"/>
    <x v="1"/>
    <x v="2"/>
    <x v="3"/>
    <s v="Yes"/>
    <x v="0"/>
    <n v="1"/>
    <s v="Blinkit"/>
    <m/>
    <m/>
    <m/>
    <m/>
    <m/>
    <x v="0"/>
    <s v="Less than 3 months"/>
    <s v="Below ₹200"/>
    <s v="Morning"/>
    <s v="Cash on Delivery"/>
    <s v="Groceries"/>
    <m/>
    <m/>
    <m/>
    <m/>
    <s v="Neutral"/>
    <s v="Agree"/>
    <s v="Neutral"/>
    <s v="Neutral"/>
    <s v="Agree"/>
    <s v="Neutral"/>
    <s v="Neutral"/>
    <s v="Neutral"/>
    <s v="Neutral"/>
    <s v="Neutral"/>
    <n v="4"/>
    <n v="3"/>
    <n v="3"/>
    <s v="Affordable Pricing"/>
    <m/>
    <m/>
    <m/>
    <m/>
    <m/>
    <m/>
    <m/>
    <m/>
    <m/>
    <m/>
    <m/>
    <m/>
    <m/>
    <m/>
    <m/>
    <m/>
    <m/>
    <m/>
    <m/>
    <m/>
  </r>
  <r>
    <n v="50"/>
    <x v="2"/>
    <x v="1"/>
    <x v="1"/>
    <x v="3"/>
    <x v="3"/>
    <s v="Yes"/>
    <x v="0"/>
    <n v="1"/>
    <s v="Blinkit"/>
    <m/>
    <m/>
    <m/>
    <m/>
    <m/>
    <x v="0"/>
    <s v="Less than 3 months"/>
    <s v="Below ₹200"/>
    <s v="Night"/>
    <s v="Cash on Delivery"/>
    <s v="Groceries"/>
    <s v=" Snacks and Beverages"/>
    <s v=" Daily Essentials"/>
    <s v=" Personal Care"/>
    <s v=" Medicines"/>
    <s v="Agree"/>
    <s v="Agree"/>
    <s v="Agree"/>
    <s v="Agree"/>
    <s v="Agree"/>
    <s v="Agree"/>
    <s v="Agree"/>
    <s v="Agree"/>
    <s v="Agree"/>
    <s v="Agree"/>
    <n v="3"/>
    <n v="3"/>
    <n v="3"/>
    <s v="Affordable Pricing"/>
    <m/>
    <m/>
    <m/>
    <m/>
    <m/>
    <m/>
    <m/>
    <m/>
    <m/>
    <m/>
    <m/>
    <m/>
    <m/>
    <m/>
    <m/>
    <m/>
    <m/>
    <m/>
    <m/>
    <m/>
  </r>
  <r>
    <n v="47"/>
    <x v="3"/>
    <x v="1"/>
    <x v="0"/>
    <x v="3"/>
    <x v="3"/>
    <s v="Yes"/>
    <x v="0"/>
    <n v="1"/>
    <s v="Blinkit"/>
    <m/>
    <m/>
    <m/>
    <m/>
    <m/>
    <x v="0"/>
    <s v="Less than 3 months"/>
    <s v="Below ₹200"/>
    <s v="Morning"/>
    <s v="UPI"/>
    <s v="Groceries"/>
    <m/>
    <m/>
    <m/>
    <m/>
    <s v="Neutral"/>
    <s v="Agree"/>
    <s v="Agree"/>
    <s v="Agree"/>
    <s v="Agree"/>
    <s v="Agree"/>
    <s v="Agree"/>
    <s v="Agree"/>
    <s v="Agree"/>
    <s v="Agree"/>
    <n v="3"/>
    <n v="4"/>
    <n v="3"/>
    <s v="Emergency Needs"/>
    <m/>
    <m/>
    <m/>
    <m/>
    <m/>
    <m/>
    <m/>
    <m/>
    <m/>
    <m/>
    <m/>
    <m/>
    <m/>
    <m/>
    <m/>
    <m/>
    <m/>
    <m/>
    <m/>
    <m/>
  </r>
  <r>
    <n v="54"/>
    <x v="2"/>
    <x v="1"/>
    <x v="1"/>
    <x v="1"/>
    <x v="0"/>
    <s v="Yes"/>
    <x v="0"/>
    <n v="1"/>
    <s v="Blinkit"/>
    <m/>
    <m/>
    <m/>
    <m/>
    <m/>
    <x v="0"/>
    <s v="Less than 3 months"/>
    <s v="Below ₹200"/>
    <s v="Morning"/>
    <s v="UPI"/>
    <s v="Groceries"/>
    <m/>
    <m/>
    <m/>
    <m/>
    <s v="Disagree"/>
    <s v="Neutral"/>
    <s v="Neutral"/>
    <s v="Neutral"/>
    <s v="Neutral"/>
    <s v="Neutral"/>
    <s v="Neutral"/>
    <s v="Neutral"/>
    <s v="Neutral"/>
    <s v="Neutral"/>
    <n v="4"/>
    <n v="3"/>
    <n v="4"/>
    <s v="Convenience"/>
    <m/>
    <m/>
    <m/>
    <m/>
    <m/>
    <m/>
    <m/>
    <m/>
    <m/>
    <m/>
    <m/>
    <m/>
    <m/>
    <m/>
    <m/>
    <m/>
    <m/>
    <m/>
    <m/>
    <m/>
  </r>
  <r>
    <n v="45"/>
    <x v="3"/>
    <x v="1"/>
    <x v="0"/>
    <x v="1"/>
    <x v="3"/>
    <s v="Yes"/>
    <x v="0"/>
    <n v="1"/>
    <s v="Blinkit"/>
    <m/>
    <m/>
    <m/>
    <m/>
    <m/>
    <x v="0"/>
    <s v="Less than 3 months"/>
    <s v="Below ₹200"/>
    <s v="Morning"/>
    <s v="Cash on Delivery"/>
    <s v="Groceries"/>
    <m/>
    <m/>
    <m/>
    <m/>
    <s v="Neutral"/>
    <s v="Neutral"/>
    <s v="Agree"/>
    <s v="Agree"/>
    <s v="Agree"/>
    <s v="Agree"/>
    <s v="Agree"/>
    <s v="Agree"/>
    <s v="Agree"/>
    <s v="Agree"/>
    <n v="3"/>
    <n v="4"/>
    <n v="3"/>
    <s v="Convenience"/>
    <m/>
    <m/>
    <m/>
    <m/>
    <m/>
    <m/>
    <m/>
    <m/>
    <m/>
    <m/>
    <m/>
    <m/>
    <m/>
    <m/>
    <m/>
    <m/>
    <m/>
    <m/>
    <m/>
    <m/>
  </r>
  <r>
    <n v="38"/>
    <x v="4"/>
    <x v="0"/>
    <x v="0"/>
    <x v="1"/>
    <x v="1"/>
    <s v="Yes"/>
    <x v="0"/>
    <n v="1"/>
    <s v="Blinkit"/>
    <s v=" Zepto"/>
    <m/>
    <m/>
    <m/>
    <m/>
    <x v="3"/>
    <s v="3-6 months"/>
    <s v="₹200 - ₹400"/>
    <s v="Evening"/>
    <s v="UPI"/>
    <s v="Groceries"/>
    <s v=" Snacks and Beverages"/>
    <m/>
    <m/>
    <m/>
    <s v="Strongly Agree"/>
    <s v="Agree"/>
    <s v="Strongly Agree"/>
    <s v="Neutral"/>
    <s v="Strongly Agree"/>
    <s v="Neutral"/>
    <s v="Agree"/>
    <s v="Neutral"/>
    <s v="Strongly Agree"/>
    <s v="Strongly Agree"/>
    <n v="4"/>
    <n v="5"/>
    <n v="3"/>
    <s v="Product Availability"/>
    <m/>
    <m/>
    <m/>
    <m/>
    <m/>
    <m/>
    <m/>
    <m/>
    <m/>
    <m/>
    <m/>
    <m/>
    <m/>
    <m/>
    <m/>
    <m/>
    <m/>
    <m/>
    <m/>
    <m/>
  </r>
  <r>
    <n v="40"/>
    <x v="4"/>
    <x v="0"/>
    <x v="2"/>
    <x v="1"/>
    <x v="1"/>
    <s v="Yes"/>
    <x v="0"/>
    <n v="1"/>
    <s v="Blinkit"/>
    <m/>
    <m/>
    <s v=" big basket"/>
    <m/>
    <m/>
    <x v="0"/>
    <s v="6-12 months"/>
    <s v="₹200 - ₹400"/>
    <s v="Midnight"/>
    <s v="UPI"/>
    <s v="Groceries"/>
    <m/>
    <s v=" Daily Essentials"/>
    <m/>
    <m/>
    <s v="Agree"/>
    <s v="Agree"/>
    <s v="Strongly Agree"/>
    <s v="Strongly Agree"/>
    <s v="Agree"/>
    <s v="Neutral"/>
    <s v="Agree"/>
    <s v="Strongly Agree"/>
    <s v="Agree"/>
    <s v="Agree"/>
    <n v="4"/>
    <n v="5"/>
    <n v="4"/>
    <s v="Product Availability"/>
    <m/>
    <m/>
    <m/>
    <m/>
    <m/>
    <m/>
    <m/>
    <m/>
    <m/>
    <m/>
    <m/>
    <m/>
    <m/>
    <m/>
    <m/>
    <m/>
    <m/>
    <m/>
    <m/>
    <m/>
  </r>
  <r>
    <n v="30"/>
    <x v="1"/>
    <x v="0"/>
    <x v="3"/>
    <x v="1"/>
    <x v="2"/>
    <s v="Yes"/>
    <x v="0"/>
    <n v="1"/>
    <s v="Blinkit"/>
    <m/>
    <s v=" Swiggy Instamart"/>
    <m/>
    <m/>
    <m/>
    <x v="2"/>
    <s v="3-6 months"/>
    <s v="Below ₹200"/>
    <s v="Evening"/>
    <s v="Cash on Delivery"/>
    <s v="Groceries"/>
    <m/>
    <s v=" Daily Essentials"/>
    <m/>
    <m/>
    <s v="Agree"/>
    <s v="Strongly Agree"/>
    <s v="Agree"/>
    <s v="Agree"/>
    <s v="Strongly Agree"/>
    <s v="Neutral"/>
    <s v="Neutral"/>
    <s v="Disagree"/>
    <s v="Strongly Agree"/>
    <s v="Strongly Agree"/>
    <n v="4"/>
    <n v="5"/>
    <n v="3"/>
    <s v="Better Offers"/>
    <m/>
    <m/>
    <m/>
    <m/>
    <m/>
    <m/>
    <m/>
    <m/>
    <m/>
    <m/>
    <m/>
    <m/>
    <m/>
    <m/>
    <m/>
    <m/>
    <m/>
    <m/>
    <m/>
    <m/>
  </r>
  <r>
    <n v="40"/>
    <x v="4"/>
    <x v="0"/>
    <x v="1"/>
    <x v="1"/>
    <x v="3"/>
    <s v="Yes"/>
    <x v="0"/>
    <n v="1"/>
    <s v="Blinkit"/>
    <m/>
    <m/>
    <m/>
    <m/>
    <m/>
    <x v="0"/>
    <s v="3-6 months"/>
    <s v="₹200 - ₹400"/>
    <s v="Night"/>
    <s v="Cash on Delivery"/>
    <s v="Groceries"/>
    <s v=" Snacks and Beverages"/>
    <m/>
    <m/>
    <m/>
    <s v="Strongly Agree"/>
    <s v="Strongly Agree"/>
    <s v="Disagree"/>
    <s v="Strongly Agree"/>
    <s v="Agree"/>
    <s v="Neutral"/>
    <s v="Agree"/>
    <s v="Strongly Agree"/>
    <s v="Strongly Agree"/>
    <s v="Agree"/>
    <n v="4"/>
    <n v="5"/>
    <n v="4"/>
    <s v="Product Availability"/>
    <m/>
    <m/>
    <m/>
    <m/>
    <m/>
    <m/>
    <m/>
    <m/>
    <m/>
    <m/>
    <m/>
    <m/>
    <m/>
    <m/>
    <m/>
    <m/>
    <m/>
    <m/>
    <m/>
    <m/>
  </r>
  <r>
    <n v="38"/>
    <x v="4"/>
    <x v="0"/>
    <x v="1"/>
    <x v="1"/>
    <x v="2"/>
    <s v="Yes"/>
    <x v="0"/>
    <n v="1"/>
    <s v="Blinkit"/>
    <s v=" Zepto"/>
    <s v=" Swiggy Instamart"/>
    <m/>
    <m/>
    <m/>
    <x v="0"/>
    <s v="More than a year"/>
    <s v="Below ₹200"/>
    <s v="Evening"/>
    <s v="UPI"/>
    <s v="Groceries"/>
    <m/>
    <s v=" Daily Essentials"/>
    <s v=" Personal Care"/>
    <m/>
    <s v="Strongly Agree"/>
    <s v="Strongly Agree"/>
    <s v="Agree"/>
    <s v="Agree"/>
    <s v="Neutral"/>
    <s v="Agree"/>
    <s v="Agree"/>
    <s v="Agree"/>
    <s v="Agree"/>
    <s v="Neutral"/>
    <n v="4"/>
    <n v="3"/>
    <n v="4"/>
    <s v="Better Offers"/>
    <m/>
    <m/>
    <m/>
    <m/>
    <m/>
    <m/>
    <m/>
    <m/>
    <m/>
    <m/>
    <m/>
    <m/>
    <m/>
    <m/>
    <m/>
    <m/>
    <m/>
    <m/>
    <m/>
    <m/>
  </r>
  <r>
    <n v="31"/>
    <x v="1"/>
    <x v="0"/>
    <x v="1"/>
    <x v="0"/>
    <x v="3"/>
    <s v="Yes"/>
    <x v="0"/>
    <n v="1"/>
    <s v="Blinkit"/>
    <s v=" Zepto"/>
    <m/>
    <m/>
    <m/>
    <m/>
    <x v="3"/>
    <s v="More than a year"/>
    <s v="₹200 - ₹400"/>
    <s v="Evening"/>
    <s v="UPI"/>
    <s v="Groceries"/>
    <s v=" Snacks and Beverages"/>
    <m/>
    <m/>
    <m/>
    <s v="Strongly Agree"/>
    <s v="Strongly Agree"/>
    <s v="Agree"/>
    <s v="Agree"/>
    <s v="Agree"/>
    <s v="Neutral"/>
    <s v="Strongly Agree"/>
    <s v="Strongly Agree"/>
    <s v="Neutral"/>
    <s v="Strongly Agree"/>
    <n v="3"/>
    <n v="5"/>
    <n v="5"/>
    <s v="Convenience"/>
    <m/>
    <m/>
    <m/>
    <m/>
    <m/>
    <m/>
    <m/>
    <m/>
    <m/>
    <m/>
    <m/>
    <m/>
    <m/>
    <m/>
    <m/>
    <m/>
    <m/>
    <m/>
    <m/>
    <m/>
  </r>
  <r>
    <n v="31"/>
    <x v="1"/>
    <x v="0"/>
    <x v="1"/>
    <x v="2"/>
    <x v="2"/>
    <s v="Yes"/>
    <x v="0"/>
    <n v="1"/>
    <s v="Blinkit"/>
    <s v=" Zepto"/>
    <s v=" Swiggy Instamart"/>
    <m/>
    <m/>
    <m/>
    <x v="0"/>
    <s v="Less than 3 months"/>
    <s v="₹400 - ₹600"/>
    <s v="Evening"/>
    <s v="UPI"/>
    <s v="Groceries"/>
    <m/>
    <m/>
    <m/>
    <m/>
    <s v="Strongly Agree"/>
    <s v="Strongly Agree"/>
    <s v="Agree"/>
    <s v="Agree"/>
    <s v="Strongly Agree"/>
    <s v="Strongly Agree"/>
    <s v="Agree"/>
    <s v="Neutral"/>
    <s v="Agree"/>
    <s v="Strongly Agree"/>
    <n v="3"/>
    <n v="4"/>
    <n v="3"/>
    <s v="Fast Delivery"/>
    <m/>
    <m/>
    <m/>
    <m/>
    <m/>
    <m/>
    <m/>
    <m/>
    <m/>
    <m/>
    <m/>
    <m/>
    <m/>
    <m/>
    <m/>
    <m/>
    <m/>
    <m/>
    <m/>
    <m/>
  </r>
  <r>
    <n v="40"/>
    <x v="4"/>
    <x v="0"/>
    <x v="1"/>
    <x v="1"/>
    <x v="1"/>
    <s v="Yes"/>
    <x v="0"/>
    <n v="1"/>
    <s v="Blinkit"/>
    <s v=" Zepto"/>
    <s v=" Swiggy Instamart"/>
    <m/>
    <m/>
    <m/>
    <x v="0"/>
    <s v="More than a year"/>
    <s v="₹200 - ₹400"/>
    <s v="Afternoon"/>
    <s v="UPI"/>
    <s v="Groceries"/>
    <m/>
    <s v=" Daily Essentials"/>
    <s v=" Personal Care"/>
    <m/>
    <s v="Agree"/>
    <s v="Neutral"/>
    <s v="Neutral"/>
    <s v="Agree"/>
    <s v="Strongly Agree"/>
    <s v="Agree"/>
    <s v="Neutral"/>
    <s v="Agree"/>
    <s v="Strongly Agree"/>
    <s v="Agree"/>
    <n v="3"/>
    <n v="4"/>
    <n v="5"/>
    <s v="Fast Delivery"/>
    <m/>
    <m/>
    <m/>
    <m/>
    <m/>
    <m/>
    <m/>
    <m/>
    <m/>
    <m/>
    <m/>
    <m/>
    <m/>
    <m/>
    <m/>
    <m/>
    <m/>
    <m/>
    <m/>
    <m/>
  </r>
  <r>
    <n v="18"/>
    <x v="0"/>
    <x v="0"/>
    <x v="0"/>
    <x v="0"/>
    <x v="2"/>
    <s v="Yes"/>
    <x v="0"/>
    <n v="1"/>
    <s v="Blinkit"/>
    <s v=" Zepto"/>
    <s v=" Swiggy Instamart"/>
    <m/>
    <m/>
    <m/>
    <x v="0"/>
    <s v="6-12 months"/>
    <s v="₹200 - ₹400"/>
    <s v="Afternoon"/>
    <s v="Cash on Delivery"/>
    <s v="Groceries"/>
    <s v=" Snacks and Beverages"/>
    <s v=" Daily Essentials"/>
    <s v=" Personal Care"/>
    <m/>
    <s v="Strongly Agree"/>
    <s v="Agree"/>
    <s v="Agree"/>
    <s v="Agree"/>
    <s v="Strongly Agree"/>
    <s v="Agree"/>
    <s v="Neutral"/>
    <s v="Agree"/>
    <s v="Strongly Agree"/>
    <s v="Strongly Agree"/>
    <n v="3"/>
    <n v="4"/>
    <n v="4"/>
    <s v="Convenience"/>
    <m/>
    <m/>
    <m/>
    <m/>
    <m/>
    <m/>
    <m/>
    <m/>
    <m/>
    <m/>
    <m/>
    <m/>
    <m/>
    <m/>
    <m/>
    <m/>
    <m/>
    <m/>
    <m/>
    <m/>
  </r>
  <r>
    <n v="29"/>
    <x v="1"/>
    <x v="0"/>
    <x v="0"/>
    <x v="3"/>
    <x v="2"/>
    <s v="Yes"/>
    <x v="0"/>
    <n v="1"/>
    <s v="Blinkit"/>
    <s v=" Zepto"/>
    <s v=" Swiggy Instamart"/>
    <m/>
    <m/>
    <m/>
    <x v="0"/>
    <s v="More than a year"/>
    <s v="₹200 - ₹400"/>
    <s v="Evening"/>
    <s v="Cash on Delivery"/>
    <m/>
    <s v="Snacks and Beverages"/>
    <s v=" Daily Essentials"/>
    <m/>
    <m/>
    <s v="Agree"/>
    <s v="Strongly Agree"/>
    <s v="Agree"/>
    <s v="Neutral"/>
    <s v="Agree"/>
    <s v="Agree"/>
    <s v="Strongly Agree"/>
    <s v="Agree"/>
    <s v="Neutral"/>
    <s v="Neutral"/>
    <n v="3"/>
    <n v="5"/>
    <n v="2"/>
    <s v="Emergency Needs"/>
    <m/>
    <m/>
    <m/>
    <m/>
    <m/>
    <m/>
    <m/>
    <m/>
    <m/>
    <m/>
    <m/>
    <m/>
    <m/>
    <m/>
    <m/>
    <m/>
    <m/>
    <m/>
    <m/>
    <m/>
  </r>
  <r>
    <n v="25"/>
    <x v="0"/>
    <x v="0"/>
    <x v="0"/>
    <x v="0"/>
    <x v="1"/>
    <s v="Yes"/>
    <x v="0"/>
    <n v="1"/>
    <s v="Blinkit"/>
    <m/>
    <s v=" Swiggy Instamart"/>
    <m/>
    <m/>
    <m/>
    <x v="0"/>
    <s v="6-12 months"/>
    <s v="₹200 - ₹400"/>
    <s v="Evening"/>
    <s v="UPI"/>
    <s v="Groceries"/>
    <s v=" Snacks and Beverages"/>
    <s v=" Daily Essentials"/>
    <s v=" Personal Care"/>
    <m/>
    <s v="Agree"/>
    <s v="Neutral"/>
    <s v="Neutral"/>
    <s v="Agree"/>
    <s v="Agree"/>
    <s v="Agree"/>
    <s v="Strongly Agree"/>
    <s v="Agree"/>
    <s v="Agree"/>
    <s v="Neutral"/>
    <n v="4"/>
    <n v="5"/>
    <n v="2"/>
    <s v="Emergency Needs"/>
    <m/>
    <m/>
    <m/>
    <m/>
    <m/>
    <m/>
    <m/>
    <m/>
    <m/>
    <m/>
    <m/>
    <m/>
    <m/>
    <m/>
    <m/>
    <m/>
    <m/>
    <m/>
    <m/>
    <m/>
  </r>
  <r>
    <n v="18"/>
    <x v="0"/>
    <x v="0"/>
    <x v="0"/>
    <x v="0"/>
    <x v="2"/>
    <s v="Yes"/>
    <x v="0"/>
    <n v="1"/>
    <s v="Blinkit"/>
    <s v=" Zepto"/>
    <s v=" Swiggy Instamart"/>
    <m/>
    <m/>
    <m/>
    <x v="0"/>
    <s v="3-6 months"/>
    <s v="₹200 - ₹400"/>
    <s v="Morning"/>
    <s v="UPI"/>
    <s v="Groceries"/>
    <s v=" Snacks and Beverages"/>
    <s v=" Daily Essentials"/>
    <s v=" Personal Care"/>
    <s v=" Medicines"/>
    <s v="Agree"/>
    <s v="Strongly Agree"/>
    <s v="Agree"/>
    <s v="Strongly Agree"/>
    <s v="Strongly Agree"/>
    <s v="Strongly Agree"/>
    <s v="Agree"/>
    <s v="Agree"/>
    <s v="Strongly Agree"/>
    <s v="Strongly Agree"/>
    <n v="5"/>
    <n v="5"/>
    <n v="5"/>
    <s v="Fast Delivery"/>
    <m/>
    <m/>
    <m/>
    <m/>
    <m/>
    <m/>
    <m/>
    <m/>
    <m/>
    <m/>
    <m/>
    <m/>
    <m/>
    <m/>
    <m/>
    <m/>
    <m/>
    <m/>
    <m/>
    <m/>
  </r>
  <r>
    <n v="29"/>
    <x v="1"/>
    <x v="0"/>
    <x v="0"/>
    <x v="1"/>
    <x v="1"/>
    <s v="Yes"/>
    <x v="0"/>
    <n v="1"/>
    <s v="Blinkit"/>
    <s v=" Zepto"/>
    <s v=" Swiggy Instamart"/>
    <m/>
    <m/>
    <m/>
    <x v="3"/>
    <s v="More than a year"/>
    <s v="₹400 - ₹600"/>
    <s v="Evening"/>
    <s v="Cash on Delivery"/>
    <s v="Groceries"/>
    <m/>
    <m/>
    <m/>
    <m/>
    <s v="Strongly Agree"/>
    <s v="Agree"/>
    <s v="Neutral"/>
    <s v="Neutral"/>
    <s v="Disagree"/>
    <s v="Agree"/>
    <s v="Agree"/>
    <s v="Agree"/>
    <s v="Neutral"/>
    <s v="Strongly Agree"/>
    <n v="5"/>
    <n v="5"/>
    <n v="5"/>
    <s v="Fast Delivery"/>
    <m/>
    <m/>
    <m/>
    <m/>
    <m/>
    <m/>
    <m/>
    <m/>
    <m/>
    <m/>
    <m/>
    <m/>
    <m/>
    <m/>
    <m/>
    <m/>
    <m/>
    <m/>
    <m/>
    <m/>
  </r>
  <r>
    <n v="30"/>
    <x v="1"/>
    <x v="0"/>
    <x v="1"/>
    <x v="1"/>
    <x v="2"/>
    <s v="Yes"/>
    <x v="0"/>
    <n v="1"/>
    <s v="Blinkit"/>
    <s v=" Zepto"/>
    <s v=" Swiggy Instamart"/>
    <m/>
    <m/>
    <m/>
    <x v="0"/>
    <s v="More than a year"/>
    <s v="₹200 - ₹400"/>
    <s v="Evening"/>
    <s v="UPI"/>
    <m/>
    <s v="Snacks and Beverages"/>
    <m/>
    <m/>
    <m/>
    <s v="Agree"/>
    <s v="Neutral"/>
    <s v="Neutral"/>
    <s v="Strongly Agree"/>
    <s v="Agree"/>
    <s v="Strongly Agree"/>
    <s v="Agree"/>
    <s v="Neutral"/>
    <s v="Agree"/>
    <s v="Strongly Agree"/>
    <n v="4"/>
    <n v="4"/>
    <n v="4"/>
    <s v="Convenience"/>
    <m/>
    <m/>
    <m/>
    <m/>
    <m/>
    <m/>
    <m/>
    <m/>
    <m/>
    <m/>
    <m/>
    <m/>
    <m/>
    <m/>
    <m/>
    <m/>
    <m/>
    <m/>
    <m/>
    <m/>
  </r>
  <r>
    <n v="70"/>
    <x v="2"/>
    <x v="0"/>
    <x v="0"/>
    <x v="1"/>
    <x v="0"/>
    <s v="Yes"/>
    <x v="0"/>
    <n v="1"/>
    <s v="Blinkit"/>
    <s v=" Zepto"/>
    <s v=" Swiggy Instamart"/>
    <m/>
    <m/>
    <m/>
    <x v="0"/>
    <s v="More than a year"/>
    <s v="₹200 - ₹400"/>
    <s v="Night"/>
    <s v="Cash on Delivery"/>
    <s v="Groceries"/>
    <s v=" Snacks and Beverages"/>
    <s v=" Daily Essentials"/>
    <s v=" Personal Care"/>
    <m/>
    <s v="Strongly Agree"/>
    <s v="Strongly Agree"/>
    <s v="Strongly Agree"/>
    <s v="Agree"/>
    <s v="Strongly Agree"/>
    <s v="Agree"/>
    <s v="Agree"/>
    <s v="Agree"/>
    <s v="Neutral"/>
    <s v="Strongly Agree"/>
    <n v="4"/>
    <n v="4"/>
    <n v="4"/>
    <s v="Emergency Needs"/>
    <m/>
    <m/>
    <m/>
    <m/>
    <m/>
    <m/>
    <m/>
    <m/>
    <m/>
    <m/>
    <m/>
    <m/>
    <m/>
    <m/>
    <m/>
    <m/>
    <m/>
    <m/>
    <m/>
    <m/>
  </r>
  <r>
    <n v="31"/>
    <x v="1"/>
    <x v="0"/>
    <x v="1"/>
    <x v="2"/>
    <x v="1"/>
    <s v="Yes"/>
    <x v="0"/>
    <n v="1"/>
    <s v="Blinkit"/>
    <m/>
    <m/>
    <m/>
    <m/>
    <s v="Other"/>
    <x v="0"/>
    <s v="More than a year"/>
    <s v="₹200 - ₹400"/>
    <s v="Morning"/>
    <s v="UPI"/>
    <m/>
    <s v="Snacks and Beverages"/>
    <m/>
    <m/>
    <m/>
    <s v="Strongly Agree"/>
    <s v="Agree"/>
    <s v="Neutral"/>
    <s v="Neutral"/>
    <s v="Neutral"/>
    <s v="Strongly Agree"/>
    <s v="Strongly Agree"/>
    <s v="Agree"/>
    <s v="Disagree"/>
    <s v="Agree"/>
    <n v="4"/>
    <n v="3"/>
    <n v="4"/>
    <s v="Convenience"/>
    <m/>
    <m/>
    <m/>
    <m/>
    <m/>
    <m/>
    <m/>
    <m/>
    <m/>
    <m/>
    <m/>
    <m/>
    <m/>
    <m/>
    <m/>
    <m/>
    <m/>
    <m/>
    <m/>
    <m/>
  </r>
  <r>
    <n v="70"/>
    <x v="2"/>
    <x v="0"/>
    <x v="4"/>
    <x v="4"/>
    <x v="3"/>
    <s v="Yes"/>
    <x v="0"/>
    <n v="1"/>
    <s v="Blinkit"/>
    <m/>
    <m/>
    <m/>
    <m/>
    <m/>
    <x v="0"/>
    <s v="More than a year"/>
    <s v="₹400 - ₹600"/>
    <s v="Night"/>
    <s v="Cash on Delivery"/>
    <s v="Groceries"/>
    <s v=" Snacks and Beverages"/>
    <s v=" Daily Essentials"/>
    <s v=" Personal Care"/>
    <m/>
    <s v="Agree"/>
    <s v="Agree"/>
    <s v="Agree"/>
    <s v="Agree"/>
    <s v="Agree"/>
    <s v="Agree"/>
    <s v="Agree"/>
    <s v="Agree"/>
    <s v="Strongly Agree"/>
    <s v="Strongly Agree"/>
    <n v="3"/>
    <n v="5"/>
    <n v="4"/>
    <s v="Affordable Pricing"/>
    <m/>
    <m/>
    <m/>
    <m/>
    <m/>
    <m/>
    <m/>
    <m/>
    <m/>
    <m/>
    <m/>
    <m/>
    <m/>
    <m/>
    <m/>
    <m/>
    <m/>
    <m/>
    <m/>
    <m/>
  </r>
  <r>
    <n v="27"/>
    <x v="1"/>
    <x v="0"/>
    <x v="1"/>
    <x v="1"/>
    <x v="1"/>
    <s v="Yes"/>
    <x v="0"/>
    <n v="1"/>
    <m/>
    <m/>
    <s v="Swiggy Instamart"/>
    <m/>
    <m/>
    <m/>
    <x v="0"/>
    <s v="More than a year"/>
    <s v="₹400 - ₹600"/>
    <s v="Evening"/>
    <s v="UPI"/>
    <s v="Groceries"/>
    <s v=" Snacks and Beverages"/>
    <s v=" Daily Essentials"/>
    <s v=" Personal Care"/>
    <m/>
    <s v="Strongly Agree"/>
    <s v="Agree"/>
    <s v="Neutral"/>
    <s v="Agree"/>
    <s v="Neutral"/>
    <s v="Agree"/>
    <s v="Disagree"/>
    <s v="Agree"/>
    <s v="Neutral"/>
    <s v="Agree"/>
    <n v="5"/>
    <n v="5"/>
    <n v="2"/>
    <s v="Emergency Needs"/>
    <m/>
    <m/>
    <m/>
    <m/>
    <m/>
    <m/>
    <m/>
    <m/>
    <m/>
    <m/>
    <m/>
    <m/>
    <m/>
    <m/>
    <m/>
    <m/>
    <m/>
    <m/>
    <m/>
    <m/>
  </r>
  <r>
    <n v="56"/>
    <x v="2"/>
    <x v="0"/>
    <x v="2"/>
    <x v="1"/>
    <x v="1"/>
    <s v="Yes"/>
    <x v="0"/>
    <n v="1"/>
    <s v="Blinkit"/>
    <s v=" Zepto"/>
    <m/>
    <m/>
    <m/>
    <m/>
    <x v="0"/>
    <s v="Less than 3 months"/>
    <s v="Below ₹200"/>
    <s v="Night"/>
    <s v="Cash on Delivery"/>
    <s v="Groceries"/>
    <s v=" Snacks and Beverages"/>
    <s v=" Daily Essentials"/>
    <s v=" Personal Care"/>
    <m/>
    <s v="Strongly Agree"/>
    <s v="Agree"/>
    <s v="Agree"/>
    <s v="Agree"/>
    <s v="Agree"/>
    <s v="Agree"/>
    <s v="Agree"/>
    <s v="Strongly Agree"/>
    <s v="Strongly Agree"/>
    <s v="Agree"/>
    <n v="5"/>
    <n v="4"/>
    <n v="3"/>
    <s v="Product Availability"/>
    <m/>
    <m/>
    <m/>
    <m/>
    <m/>
    <m/>
    <m/>
    <m/>
    <m/>
    <m/>
    <m/>
    <m/>
    <m/>
    <m/>
    <m/>
    <m/>
    <m/>
    <m/>
    <m/>
    <m/>
  </r>
  <r>
    <n v="23"/>
    <x v="0"/>
    <x v="0"/>
    <x v="0"/>
    <x v="1"/>
    <x v="1"/>
    <s v="Yes"/>
    <x v="0"/>
    <n v="1"/>
    <s v="Blinkit"/>
    <s v=" Zepto"/>
    <s v=" Swiggy Instamart"/>
    <m/>
    <m/>
    <m/>
    <x v="0"/>
    <s v="More than a year"/>
    <s v="₹200 - ₹400"/>
    <s v="Morning"/>
    <s v="UPI"/>
    <s v="Groceries"/>
    <s v=" Snacks and Beverages"/>
    <s v=" Daily Essentials"/>
    <s v=" Personal Care"/>
    <m/>
    <s v="Strongly Agree"/>
    <s v="Strongly Agree"/>
    <s v="Strongly Agree"/>
    <s v="Neutral"/>
    <s v="Neutral"/>
    <s v="Strongly Agree"/>
    <s v="Strongly Agree"/>
    <s v="Neutral"/>
    <s v="Agree"/>
    <s v="Agree"/>
    <n v="5"/>
    <n v="3"/>
    <n v="5"/>
    <s v="Convenience"/>
    <m/>
    <m/>
    <m/>
    <m/>
    <m/>
    <m/>
    <m/>
    <m/>
    <m/>
    <m/>
    <m/>
    <m/>
    <m/>
    <m/>
    <m/>
    <m/>
    <m/>
    <m/>
    <m/>
    <m/>
  </r>
  <r>
    <n v="27"/>
    <x v="1"/>
    <x v="0"/>
    <x v="0"/>
    <x v="2"/>
    <x v="1"/>
    <s v="Yes"/>
    <x v="0"/>
    <n v="1"/>
    <s v="Blinkit"/>
    <s v=" Zepto"/>
    <m/>
    <m/>
    <m/>
    <m/>
    <x v="3"/>
    <s v="3-6 months"/>
    <s v="₹200 - ₹400"/>
    <s v="Morning"/>
    <s v="UPI"/>
    <s v="Groceries"/>
    <s v=" Snacks and Beverages"/>
    <m/>
    <m/>
    <m/>
    <s v="Strongly Agree"/>
    <s v="Neutral"/>
    <s v="Neutral"/>
    <s v="Agree"/>
    <s v="Disagree"/>
    <s v="Agree"/>
    <s v="Agree"/>
    <s v="Neutral"/>
    <s v="Strongly Agree"/>
    <s v="Agree"/>
    <n v="3"/>
    <n v="5"/>
    <n v="5"/>
    <s v="Emergency Needs"/>
    <m/>
    <m/>
    <m/>
    <m/>
    <m/>
    <m/>
    <m/>
    <m/>
    <m/>
    <m/>
    <m/>
    <m/>
    <m/>
    <m/>
    <m/>
    <m/>
    <m/>
    <m/>
    <m/>
    <m/>
  </r>
  <r>
    <n v="56"/>
    <x v="2"/>
    <x v="0"/>
    <x v="1"/>
    <x v="2"/>
    <x v="1"/>
    <s v="Yes"/>
    <x v="0"/>
    <n v="1"/>
    <m/>
    <s v="Zepto"/>
    <s v=" Swiggy Instamart"/>
    <m/>
    <m/>
    <m/>
    <x v="2"/>
    <s v="More than a year"/>
    <s v="Below ₹200"/>
    <s v="Afternoon"/>
    <s v="Cash on Delivery"/>
    <s v="Groceries"/>
    <m/>
    <m/>
    <m/>
    <m/>
    <s v="Neutral"/>
    <s v="Neutral"/>
    <s v="Strongly Agree"/>
    <s v="Neutral"/>
    <s v="Strongly Agree"/>
    <s v="Agree"/>
    <s v="Disagree"/>
    <s v="Agree"/>
    <s v="Neutral"/>
    <s v="Neutral"/>
    <n v="5"/>
    <n v="4"/>
    <n v="4"/>
    <s v="Better Offers"/>
    <m/>
    <m/>
    <m/>
    <m/>
    <m/>
    <m/>
    <m/>
    <m/>
    <m/>
    <m/>
    <m/>
    <m/>
    <m/>
    <m/>
    <m/>
    <m/>
    <m/>
    <m/>
    <m/>
    <m/>
  </r>
  <r>
    <n v="26"/>
    <x v="1"/>
    <x v="0"/>
    <x v="1"/>
    <x v="1"/>
    <x v="1"/>
    <s v="Yes"/>
    <x v="0"/>
    <n v="1"/>
    <s v="Blinkit"/>
    <s v=" Zepto"/>
    <s v=" Swiggy Instamart"/>
    <m/>
    <m/>
    <m/>
    <x v="3"/>
    <s v="3-6 months"/>
    <s v="₹200 - ₹400"/>
    <s v="Night"/>
    <s v="UPI"/>
    <m/>
    <s v="Snacks and Beverages"/>
    <s v=" Daily Essentials"/>
    <m/>
    <m/>
    <s v="Strongly Agree"/>
    <s v="Agree"/>
    <s v="Agree"/>
    <s v="Neutral"/>
    <s v="Strongly Disagree"/>
    <s v="Strongly Agree"/>
    <s v="Agree"/>
    <s v="Agree"/>
    <s v="Agree"/>
    <s v="Agree"/>
    <n v="5"/>
    <n v="5"/>
    <n v="4"/>
    <s v="Affordable Pricing"/>
    <m/>
    <m/>
    <m/>
    <m/>
    <m/>
    <m/>
    <m/>
    <m/>
    <m/>
    <m/>
    <m/>
    <m/>
    <m/>
    <m/>
    <m/>
    <m/>
    <m/>
    <m/>
    <m/>
    <m/>
  </r>
  <r>
    <n v="60"/>
    <x v="2"/>
    <x v="0"/>
    <x v="1"/>
    <x v="4"/>
    <x v="3"/>
    <s v="Yes"/>
    <x v="0"/>
    <n v="1"/>
    <s v="Blinkit"/>
    <s v=" Zepto"/>
    <m/>
    <m/>
    <m/>
    <m/>
    <x v="0"/>
    <s v="3-6 months"/>
    <s v="₹400 - ₹600"/>
    <s v="Morning"/>
    <s v="UPI"/>
    <m/>
    <s v="Snacks and Beverages"/>
    <m/>
    <m/>
    <m/>
    <s v="Strongly Agree"/>
    <s v="Neutral"/>
    <s v="Strongly Agree"/>
    <s v="Strongly Agree"/>
    <s v="Neutral"/>
    <s v="Agree"/>
    <s v="Strongly Agree"/>
    <s v="Strongly Agree"/>
    <s v="Strongly Agree"/>
    <s v="Neutral"/>
    <n v="4"/>
    <n v="4"/>
    <n v="4"/>
    <s v="Fast Delivery"/>
    <m/>
    <m/>
    <m/>
    <m/>
    <m/>
    <m/>
    <m/>
    <m/>
    <m/>
    <m/>
    <m/>
    <m/>
    <m/>
    <m/>
    <m/>
    <m/>
    <m/>
    <m/>
    <m/>
    <m/>
  </r>
  <r>
    <n v="18"/>
    <x v="0"/>
    <x v="0"/>
    <x v="2"/>
    <x v="0"/>
    <x v="1"/>
    <s v="Yes"/>
    <x v="0"/>
    <n v="1"/>
    <s v="Blinkit"/>
    <s v=" Zepto"/>
    <s v=" Swiggy Instamart"/>
    <m/>
    <m/>
    <m/>
    <x v="0"/>
    <s v="More than a year"/>
    <s v="₹200 - ₹400"/>
    <s v="Evening"/>
    <s v="Wallets (Paytm, PhonePe, etc.)"/>
    <s v="Groceries"/>
    <s v=" Snacks and Beverages"/>
    <s v=" Daily Essentials"/>
    <s v=" Personal Care"/>
    <m/>
    <s v="Strongly Agree"/>
    <s v="Agree"/>
    <s v="Agree"/>
    <s v="Agree"/>
    <s v="Strongly Agree"/>
    <s v="Agree"/>
    <s v="Strongly Agree"/>
    <s v="Agree"/>
    <s v="Strongly Agree"/>
    <s v="Neutral"/>
    <n v="3"/>
    <n v="5"/>
    <n v="4"/>
    <s v="Convenience"/>
    <m/>
    <m/>
    <m/>
    <m/>
    <m/>
    <m/>
    <m/>
    <m/>
    <m/>
    <m/>
    <m/>
    <m/>
    <m/>
    <m/>
    <m/>
    <m/>
    <m/>
    <m/>
    <m/>
    <m/>
  </r>
  <r>
    <n v="30"/>
    <x v="1"/>
    <x v="0"/>
    <x v="0"/>
    <x v="1"/>
    <x v="3"/>
    <s v="Yes"/>
    <x v="0"/>
    <n v="1"/>
    <s v="Blinkit"/>
    <s v=" Zepto"/>
    <s v=" Swiggy Instamart"/>
    <m/>
    <m/>
    <m/>
    <x v="0"/>
    <s v="More than a year"/>
    <s v="₹200 - ₹400"/>
    <s v="Afternoon"/>
    <s v="Cash on Delivery"/>
    <m/>
    <s v="Snacks and Beverages"/>
    <s v=" Daily Essentials"/>
    <m/>
    <m/>
    <s v="Agree"/>
    <s v="Neutral"/>
    <s v="Agree"/>
    <s v="Agree"/>
    <s v="Agree"/>
    <s v="Strongly Agree"/>
    <s v="Strongly Agree"/>
    <s v="Disagree"/>
    <s v="Disagree"/>
    <s v="Neutral"/>
    <n v="3"/>
    <n v="5"/>
    <n v="5"/>
    <s v="Convenience"/>
    <m/>
    <m/>
    <m/>
    <m/>
    <m/>
    <m/>
    <m/>
    <m/>
    <m/>
    <m/>
    <m/>
    <m/>
    <m/>
    <m/>
    <m/>
    <m/>
    <m/>
    <m/>
    <m/>
    <m/>
  </r>
  <r>
    <n v="20"/>
    <x v="0"/>
    <x v="0"/>
    <x v="4"/>
    <x v="1"/>
    <x v="1"/>
    <s v="Yes"/>
    <x v="0"/>
    <n v="1"/>
    <s v="Blinkit"/>
    <m/>
    <m/>
    <m/>
    <m/>
    <m/>
    <x v="0"/>
    <s v="More than a year"/>
    <s v="₹400 - ₹600"/>
    <s v="Evening"/>
    <s v="UPI"/>
    <m/>
    <s v="Snacks and Beverages"/>
    <s v=" Daily Essentials"/>
    <s v=" Personal Care"/>
    <m/>
    <s v="Agree"/>
    <s v="Agree"/>
    <s v="Agree"/>
    <s v="Neutral"/>
    <s v="Agree"/>
    <s v="Strongly Agree"/>
    <s v="Strongly Agree"/>
    <s v="Strongly Agree"/>
    <s v="Neutral"/>
    <s v="Disagree"/>
    <n v="5"/>
    <n v="5"/>
    <n v="1"/>
    <s v="Fast Delivery"/>
    <m/>
    <m/>
    <m/>
    <m/>
    <m/>
    <m/>
    <m/>
    <m/>
    <m/>
    <m/>
    <m/>
    <m/>
    <m/>
    <m/>
    <m/>
    <m/>
    <m/>
    <m/>
    <m/>
    <m/>
  </r>
  <r>
    <n v="45"/>
    <x v="3"/>
    <x v="0"/>
    <x v="0"/>
    <x v="1"/>
    <x v="0"/>
    <s v="Yes"/>
    <x v="0"/>
    <n v="1"/>
    <s v="Blinkit"/>
    <m/>
    <m/>
    <m/>
    <m/>
    <m/>
    <x v="0"/>
    <s v="Less than 3 months"/>
    <s v="Below ₹200"/>
    <s v="Evening"/>
    <s v="UPI"/>
    <s v="Groceries"/>
    <s v=" Snacks and Beverages"/>
    <s v=" Daily Essentials"/>
    <m/>
    <m/>
    <s v="Disagree"/>
    <s v="Neutral"/>
    <s v="Agree"/>
    <s v="Neutral"/>
    <s v="Agree"/>
    <s v="Neutral"/>
    <s v="Neutral"/>
    <s v="Agree"/>
    <s v="Neutral"/>
    <s v="Agree"/>
    <n v="4"/>
    <n v="3"/>
    <n v="4"/>
    <s v="Convenience"/>
    <m/>
    <m/>
    <m/>
    <m/>
    <m/>
    <m/>
    <m/>
    <m/>
    <m/>
    <m/>
    <m/>
    <m/>
    <m/>
    <m/>
    <m/>
    <m/>
    <m/>
    <m/>
    <m/>
    <m/>
  </r>
  <r>
    <n v="56"/>
    <x v="2"/>
    <x v="0"/>
    <x v="2"/>
    <x v="4"/>
    <x v="0"/>
    <s v="Yes"/>
    <x v="0"/>
    <n v="1"/>
    <s v="Blinkit"/>
    <m/>
    <m/>
    <m/>
    <m/>
    <m/>
    <x v="0"/>
    <s v="Less than 3 months"/>
    <s v="Below ₹200"/>
    <s v="Morning"/>
    <s v="UPI"/>
    <s v="Groceries"/>
    <m/>
    <m/>
    <m/>
    <m/>
    <s v="Neutral"/>
    <s v="Agree"/>
    <s v="Neutral"/>
    <s v="Agree"/>
    <s v="Neutral"/>
    <s v="Agree"/>
    <s v="Neutral"/>
    <s v="Agree"/>
    <s v="Agree"/>
    <s v="Agree"/>
    <n v="4"/>
    <n v="4"/>
    <n v="4"/>
    <s v="Emergency Needs"/>
    <m/>
    <m/>
    <m/>
    <m/>
    <m/>
    <m/>
    <m/>
    <m/>
    <m/>
    <m/>
    <m/>
    <m/>
    <m/>
    <m/>
    <m/>
    <m/>
    <m/>
    <m/>
    <m/>
    <m/>
  </r>
  <r>
    <n v="30"/>
    <x v="1"/>
    <x v="0"/>
    <x v="2"/>
    <x v="2"/>
    <x v="0"/>
    <s v="Yes"/>
    <x v="0"/>
    <n v="1"/>
    <s v="Blinkit"/>
    <s v=" Zepto"/>
    <s v=" Swiggy Instamart"/>
    <m/>
    <m/>
    <m/>
    <x v="3"/>
    <s v="Less than 3 months"/>
    <s v="Below ₹200"/>
    <s v="Morning"/>
    <s v="UPI"/>
    <s v="Groceries"/>
    <m/>
    <m/>
    <m/>
    <m/>
    <s v="Disagree"/>
    <s v="Neutral"/>
    <s v="Agree"/>
    <s v="Disagree"/>
    <s v="Neutral"/>
    <s v="Agree"/>
    <s v="Disagree"/>
    <s v="Neutral"/>
    <s v="Agree"/>
    <s v="Neutral"/>
    <n v="4"/>
    <n v="4"/>
    <n v="4"/>
    <s v="Emergency Needs"/>
    <m/>
    <m/>
    <m/>
    <m/>
    <m/>
    <m/>
    <m/>
    <m/>
    <m/>
    <m/>
    <m/>
    <m/>
    <m/>
    <m/>
    <m/>
    <m/>
    <m/>
    <m/>
    <m/>
    <m/>
  </r>
  <r>
    <n v="27"/>
    <x v="1"/>
    <x v="0"/>
    <x v="1"/>
    <x v="0"/>
    <x v="0"/>
    <s v="Yes"/>
    <x v="0"/>
    <n v="1"/>
    <s v="Blinkit"/>
    <s v=" Zepto"/>
    <s v=" Swiggy Instamart"/>
    <m/>
    <m/>
    <m/>
    <x v="0"/>
    <s v="6-12 months"/>
    <s v="Below ₹200"/>
    <s v="Night"/>
    <s v="Cash on Delivery"/>
    <s v="Groceries"/>
    <s v=" Snacks and Beverages"/>
    <s v=" Daily Essentials"/>
    <s v=" Personal Care"/>
    <s v=" Medicines"/>
    <s v="Neutral"/>
    <s v="Neutral"/>
    <s v="Neutral"/>
    <s v="Neutral"/>
    <s v="Neutral"/>
    <s v="Agree"/>
    <s v="Agree"/>
    <s v="Agree"/>
    <s v="Agree"/>
    <s v="Agree"/>
    <n v="4"/>
    <n v="3"/>
    <n v="3"/>
    <s v="Emergency Needs"/>
    <m/>
    <m/>
    <m/>
    <m/>
    <m/>
    <m/>
    <m/>
    <m/>
    <m/>
    <m/>
    <m/>
    <m/>
    <m/>
    <m/>
    <m/>
    <m/>
    <m/>
    <m/>
    <m/>
    <m/>
  </r>
  <r>
    <n v="68"/>
    <x v="2"/>
    <x v="0"/>
    <x v="0"/>
    <x v="4"/>
    <x v="0"/>
    <s v="Yes"/>
    <x v="0"/>
    <n v="1"/>
    <s v="Blinkit"/>
    <m/>
    <m/>
    <m/>
    <m/>
    <m/>
    <x v="0"/>
    <s v="Less than 3 months"/>
    <s v="Below ₹200"/>
    <s v="Night"/>
    <s v="Cash on Delivery"/>
    <m/>
    <m/>
    <s v="Daily Essentials"/>
    <m/>
    <m/>
    <s v="Neutral"/>
    <s v="Neutral"/>
    <s v="Neutral"/>
    <s v="Agree"/>
    <s v="Agree"/>
    <s v="Agree"/>
    <s v="Agree"/>
    <s v="Agree"/>
    <s v="Agree"/>
    <s v="Agree"/>
    <n v="4"/>
    <n v="3"/>
    <n v="3"/>
    <s v="Emergency Needs"/>
    <m/>
    <m/>
    <m/>
    <m/>
    <m/>
    <m/>
    <m/>
    <m/>
    <m/>
    <m/>
    <m/>
    <m/>
    <m/>
    <m/>
    <m/>
    <m/>
    <m/>
    <m/>
    <m/>
    <m/>
  </r>
  <r>
    <n v="25"/>
    <x v="0"/>
    <x v="0"/>
    <x v="1"/>
    <x v="0"/>
    <x v="0"/>
    <s v="Yes"/>
    <x v="0"/>
    <n v="1"/>
    <s v="Blinkit"/>
    <s v=" Zepto"/>
    <s v=" Swiggy Instamart"/>
    <m/>
    <m/>
    <m/>
    <x v="0"/>
    <s v="More than a year"/>
    <s v="Below ₹200"/>
    <s v="Night"/>
    <s v="Cash on Delivery"/>
    <s v="Groceries"/>
    <s v=" Snacks and Beverages"/>
    <s v=" Daily Essentials"/>
    <s v=" Personal Care"/>
    <m/>
    <s v="Neutral"/>
    <s v="Disagree"/>
    <s v="Neutral"/>
    <s v="Neutral"/>
    <s v="Neutral"/>
    <s v="Disagree"/>
    <s v="Disagree"/>
    <s v="Neutral"/>
    <s v="Disagree"/>
    <s v="Disagree"/>
    <n v="4"/>
    <n v="4"/>
    <n v="3"/>
    <s v="Convenience"/>
    <m/>
    <m/>
    <m/>
    <m/>
    <m/>
    <m/>
    <m/>
    <m/>
    <m/>
    <m/>
    <m/>
    <m/>
    <m/>
    <m/>
    <m/>
    <m/>
    <m/>
    <m/>
    <m/>
    <m/>
  </r>
  <r>
    <n v="55"/>
    <x v="2"/>
    <x v="0"/>
    <x v="1"/>
    <x v="1"/>
    <x v="0"/>
    <s v="Yes"/>
    <x v="0"/>
    <n v="1"/>
    <s v="Blinkit"/>
    <s v=" Zepto"/>
    <s v=" Swiggy Instamart"/>
    <m/>
    <m/>
    <m/>
    <x v="0"/>
    <s v="Less than 3 months"/>
    <s v="Below ₹200"/>
    <s v="Morning"/>
    <s v="UPI"/>
    <s v="Groceries"/>
    <m/>
    <m/>
    <m/>
    <m/>
    <s v="Disagree"/>
    <s v="Neutral"/>
    <s v="Neutral"/>
    <s v="Neutral"/>
    <s v="Neutral"/>
    <s v="Neutral"/>
    <s v="Agree"/>
    <s v="Agree"/>
    <s v="Agree"/>
    <s v="Agree"/>
    <n v="4"/>
    <n v="3"/>
    <n v="3"/>
    <s v="Convenience"/>
    <m/>
    <m/>
    <m/>
    <m/>
    <m/>
    <m/>
    <m/>
    <m/>
    <m/>
    <m/>
    <m/>
    <m/>
    <m/>
    <m/>
    <m/>
    <m/>
    <m/>
    <m/>
    <m/>
    <m/>
  </r>
  <r>
    <n v="45"/>
    <x v="3"/>
    <x v="1"/>
    <x v="3"/>
    <x v="3"/>
    <x v="1"/>
    <s v="Yes"/>
    <x v="0"/>
    <n v="1"/>
    <s v="Blinkit"/>
    <s v=" Zepto"/>
    <s v=" Swiggy Instamart"/>
    <m/>
    <m/>
    <m/>
    <x v="0"/>
    <s v="More than a year"/>
    <s v="Below ₹200"/>
    <s v="Midnight"/>
    <s v="Cash on Delivery"/>
    <s v="Groceries"/>
    <s v=" Snacks and Beverages"/>
    <s v=" Daily Essentials"/>
    <m/>
    <m/>
    <s v="Agree"/>
    <s v="Neutral"/>
    <s v="Disagree"/>
    <s v="Agree"/>
    <s v="Disagree"/>
    <s v="Disagree"/>
    <s v="Neutral"/>
    <s v="Neutral"/>
    <s v="Disagree"/>
    <s v="Disagree"/>
    <n v="3"/>
    <n v="3"/>
    <n v="2"/>
    <s v="Convenience"/>
    <m/>
    <m/>
    <m/>
    <m/>
    <m/>
    <m/>
    <m/>
    <m/>
    <m/>
    <m/>
    <m/>
    <m/>
    <m/>
    <m/>
    <m/>
    <m/>
    <m/>
    <m/>
    <m/>
    <m/>
  </r>
  <r>
    <n v="30"/>
    <x v="1"/>
    <x v="0"/>
    <x v="1"/>
    <x v="2"/>
    <x v="3"/>
    <s v="Yes"/>
    <x v="0"/>
    <n v="1"/>
    <s v="Blinkit"/>
    <s v=" Zepto"/>
    <s v=" Swiggy Instamart"/>
    <m/>
    <m/>
    <m/>
    <x v="2"/>
    <s v="6-12 months"/>
    <s v="₹400 - ₹600"/>
    <s v="Night"/>
    <s v="Debit/Credit Card"/>
    <m/>
    <m/>
    <m/>
    <s v="Personal Care"/>
    <s v=" Medicines"/>
    <s v="Strongly Agree"/>
    <s v="Agree"/>
    <s v="Neutral"/>
    <s v="Neutral"/>
    <s v="Disagree"/>
    <s v="Agree"/>
    <s v="Strongly Agree"/>
    <s v="Neutral"/>
    <s v="Strongly Agree"/>
    <s v="Strongly Agree"/>
    <n v="4"/>
    <n v="5"/>
    <n v="3"/>
    <s v="Emergency Needs"/>
    <m/>
    <m/>
    <m/>
    <m/>
    <m/>
    <m/>
    <m/>
    <m/>
    <m/>
    <m/>
    <m/>
    <m/>
    <m/>
    <m/>
    <m/>
    <m/>
    <m/>
    <m/>
    <m/>
    <m/>
  </r>
  <r>
    <n v="46"/>
    <x v="3"/>
    <x v="1"/>
    <x v="3"/>
    <x v="3"/>
    <x v="2"/>
    <s v="Yes"/>
    <x v="0"/>
    <n v="1"/>
    <s v="Blinkit"/>
    <m/>
    <m/>
    <m/>
    <m/>
    <m/>
    <x v="0"/>
    <s v="Less than 3 months"/>
    <s v="Below ₹200"/>
    <s v="Afternoon"/>
    <s v="Cash on Delivery"/>
    <s v="Groceries"/>
    <m/>
    <m/>
    <m/>
    <m/>
    <s v="Neutral"/>
    <s v="Disagree"/>
    <s v="Agree"/>
    <s v="Disagree"/>
    <s v="Agree"/>
    <s v="Disagree"/>
    <s v="Disagree"/>
    <s v="Agree"/>
    <s v="Strongly Disagree"/>
    <s v="Neutral"/>
    <n v="3"/>
    <n v="1"/>
    <n v="2"/>
    <s v="Better Offers"/>
    <m/>
    <m/>
    <m/>
    <m/>
    <m/>
    <m/>
    <m/>
    <m/>
    <m/>
    <m/>
    <m/>
    <m/>
    <m/>
    <m/>
    <m/>
    <m/>
    <m/>
    <m/>
    <m/>
    <m/>
  </r>
  <r>
    <n v="23"/>
    <x v="0"/>
    <x v="0"/>
    <x v="0"/>
    <x v="0"/>
    <x v="0"/>
    <s v="Yes"/>
    <x v="0"/>
    <n v="1"/>
    <s v="Blinkit"/>
    <s v=" Zepto"/>
    <s v=" Swiggy Instamart"/>
    <m/>
    <m/>
    <m/>
    <x v="0"/>
    <s v="Less than 3 months"/>
    <s v="Below ₹200"/>
    <s v="Night"/>
    <s v="UPI"/>
    <s v="Groceries"/>
    <s v=" Snacks and Beverages"/>
    <s v=" Daily Essentials"/>
    <s v=" Personal Care"/>
    <m/>
    <s v="Neutral"/>
    <s v="Agree"/>
    <s v="Neutral"/>
    <s v="Agree"/>
    <s v="Neutral"/>
    <s v="Neutral"/>
    <s v="Neutral"/>
    <s v="Neutral"/>
    <s v="Neutral"/>
    <s v="Neutral"/>
    <n v="4"/>
    <n v="4"/>
    <n v="3"/>
    <s v="Convenience"/>
    <m/>
    <m/>
    <m/>
    <m/>
    <m/>
    <m/>
    <m/>
    <m/>
    <m/>
    <m/>
    <m/>
    <m/>
    <m/>
    <m/>
    <m/>
    <m/>
    <m/>
    <m/>
    <m/>
    <m/>
  </r>
  <r>
    <n v="34"/>
    <x v="4"/>
    <x v="0"/>
    <x v="0"/>
    <x v="2"/>
    <x v="3"/>
    <s v="Yes"/>
    <x v="0"/>
    <n v="1"/>
    <s v="Blinkit"/>
    <s v=" Zepto"/>
    <s v=" Swiggy Instamart"/>
    <m/>
    <m/>
    <m/>
    <x v="0"/>
    <s v="6-12 months"/>
    <s v="Below ₹200"/>
    <s v="Morning"/>
    <s v="UPI"/>
    <s v="Groceries"/>
    <m/>
    <m/>
    <m/>
    <m/>
    <s v="Neutral"/>
    <s v="Neutral"/>
    <s v="Neutral"/>
    <s v="Agree"/>
    <s v="Agree"/>
    <s v="Agree"/>
    <s v="Neutral"/>
    <s v="Neutral"/>
    <s v="Neutral"/>
    <s v="Neutral"/>
    <n v="4"/>
    <n v="4"/>
    <n v="3"/>
    <s v="Emergency Needs"/>
    <m/>
    <m/>
    <m/>
    <m/>
    <m/>
    <m/>
    <m/>
    <m/>
    <m/>
    <m/>
    <m/>
    <m/>
    <m/>
    <m/>
    <m/>
    <m/>
    <m/>
    <m/>
    <m/>
    <m/>
  </r>
  <r>
    <n v="54"/>
    <x v="2"/>
    <x v="0"/>
    <x v="2"/>
    <x v="1"/>
    <x v="0"/>
    <s v="Yes"/>
    <x v="0"/>
    <n v="1"/>
    <s v="Blinkit"/>
    <s v=" Zepto"/>
    <s v=" Swiggy Instamart"/>
    <m/>
    <m/>
    <m/>
    <x v="0"/>
    <s v="More than a year"/>
    <s v="Below ₹200"/>
    <s v="Evening"/>
    <s v="UPI"/>
    <m/>
    <s v="Snacks and Beverages"/>
    <s v=" Daily Essentials"/>
    <m/>
    <m/>
    <s v="Disagree"/>
    <s v="Neutral"/>
    <s v="Neutral"/>
    <s v="Neutral"/>
    <s v="Disagree"/>
    <s v="Disagree"/>
    <s v="Agree"/>
    <s v="Disagree"/>
    <s v="Disagree"/>
    <s v="Disagree"/>
    <n v="4"/>
    <n v="3"/>
    <n v="4"/>
    <s v="Convenience"/>
    <m/>
    <m/>
    <m/>
    <m/>
    <m/>
    <m/>
    <m/>
    <m/>
    <m/>
    <m/>
    <m/>
    <m/>
    <m/>
    <m/>
    <m/>
    <m/>
    <m/>
    <m/>
    <m/>
    <m/>
  </r>
  <r>
    <n v="40"/>
    <x v="4"/>
    <x v="0"/>
    <x v="0"/>
    <x v="0"/>
    <x v="0"/>
    <s v="Yes"/>
    <x v="0"/>
    <n v="1"/>
    <s v="Blinkit"/>
    <s v=" Zepto"/>
    <s v=" Swiggy Instamart"/>
    <m/>
    <m/>
    <m/>
    <x v="0"/>
    <s v="6-12 months"/>
    <s v="Below ₹200"/>
    <s v="Night"/>
    <s v="UPI"/>
    <s v="Groceries"/>
    <s v=" Snacks and Beverages"/>
    <s v=" Daily Essentials"/>
    <s v=" Personal Care"/>
    <m/>
    <s v="Disagree"/>
    <s v="Neutral"/>
    <s v="Neutral"/>
    <s v="Neutral"/>
    <s v="Disagree"/>
    <s v="Disagree"/>
    <s v="Disagree"/>
    <s v="Disagree"/>
    <s v="Neutral"/>
    <s v="Neutral"/>
    <n v="3"/>
    <n v="4"/>
    <n v="3"/>
    <s v="Convenience"/>
    <m/>
    <m/>
    <m/>
    <m/>
    <m/>
    <m/>
    <m/>
    <m/>
    <m/>
    <m/>
    <m/>
    <m/>
    <m/>
    <m/>
    <m/>
    <m/>
    <m/>
    <m/>
    <m/>
    <m/>
  </r>
  <r>
    <n v="34"/>
    <x v="4"/>
    <x v="0"/>
    <x v="1"/>
    <x v="1"/>
    <x v="3"/>
    <s v="Yes"/>
    <x v="0"/>
    <n v="1"/>
    <s v="Blinkit"/>
    <s v=" Zepto"/>
    <s v=" Swiggy Instamart"/>
    <m/>
    <m/>
    <m/>
    <x v="0"/>
    <s v="More than a year"/>
    <s v="Below ₹200"/>
    <s v="Evening"/>
    <s v="UPI"/>
    <s v="Groceries"/>
    <s v=" Snacks and Beverages"/>
    <s v=" Daily Essentials"/>
    <s v=" Personal Care"/>
    <s v=" Medicines"/>
    <s v="Neutral"/>
    <s v="Disagree"/>
    <s v="Disagree"/>
    <s v="Neutral"/>
    <s v="Agree"/>
    <s v="Disagree"/>
    <s v="Agree"/>
    <s v="Neutral"/>
    <s v="Neutral"/>
    <s v="Disagree"/>
    <n v="3"/>
    <n v="3"/>
    <n v="3"/>
    <s v="Emergency Needs"/>
    <m/>
    <m/>
    <m/>
    <m/>
    <m/>
    <m/>
    <m/>
    <m/>
    <m/>
    <m/>
    <m/>
    <m/>
    <m/>
    <m/>
    <m/>
    <m/>
    <m/>
    <m/>
    <m/>
    <m/>
  </r>
  <r>
    <n v="30"/>
    <x v="1"/>
    <x v="0"/>
    <x v="1"/>
    <x v="1"/>
    <x v="3"/>
    <s v="Yes"/>
    <x v="0"/>
    <n v="1"/>
    <s v="Blinkit"/>
    <s v=" Zepto"/>
    <s v=" Swiggy Instamart"/>
    <m/>
    <m/>
    <m/>
    <x v="3"/>
    <s v="6-12 months"/>
    <s v="Below ₹200"/>
    <s v="Morning"/>
    <s v="UPI"/>
    <m/>
    <s v="Snacks and Beverages"/>
    <s v=" Daily Essentials"/>
    <s v=" Personal Care"/>
    <m/>
    <s v="Neutral"/>
    <s v="Disagree"/>
    <s v="Neutral"/>
    <s v="Agree"/>
    <s v="Neutral"/>
    <s v="Neutral"/>
    <s v="Agree"/>
    <s v="Neutral"/>
    <s v="Neutral"/>
    <s v="Neutral"/>
    <n v="4"/>
    <n v="3"/>
    <n v="3"/>
    <s v="Fast Delivery"/>
    <m/>
    <m/>
    <m/>
    <m/>
    <m/>
    <m/>
    <m/>
    <m/>
    <m/>
    <m/>
    <m/>
    <m/>
    <m/>
    <m/>
    <m/>
    <m/>
    <m/>
    <m/>
    <m/>
    <m/>
  </r>
  <r>
    <n v="56"/>
    <x v="2"/>
    <x v="0"/>
    <x v="1"/>
    <x v="2"/>
    <x v="0"/>
    <s v="Yes"/>
    <x v="0"/>
    <n v="1"/>
    <s v="Blinkit"/>
    <s v=" Zepto"/>
    <s v=" Swiggy Instamart"/>
    <m/>
    <m/>
    <m/>
    <x v="0"/>
    <s v="More than a year"/>
    <s v="Below ₹200"/>
    <s v="Night"/>
    <s v="UPI"/>
    <s v="Groceries"/>
    <s v=" Snacks and Beverages"/>
    <s v=" Daily Essentials"/>
    <s v=" Personal Care"/>
    <s v=" Medicines"/>
    <s v="Disagree"/>
    <s v="Neutral"/>
    <s v="Neutral"/>
    <s v="Agree"/>
    <s v="Neutral"/>
    <s v="Neutral"/>
    <s v="Neutral"/>
    <s v="Neutral"/>
    <s v="Neutral"/>
    <s v="Neutral"/>
    <n v="4"/>
    <n v="3"/>
    <n v="3"/>
    <s v="Convenience"/>
    <m/>
    <m/>
    <m/>
    <m/>
    <m/>
    <m/>
    <m/>
    <m/>
    <m/>
    <m/>
    <m/>
    <m/>
    <m/>
    <m/>
    <m/>
    <m/>
    <m/>
    <m/>
    <m/>
    <m/>
  </r>
  <r>
    <n v="33"/>
    <x v="1"/>
    <x v="0"/>
    <x v="1"/>
    <x v="1"/>
    <x v="0"/>
    <s v="Yes"/>
    <x v="0"/>
    <n v="1"/>
    <s v="Blinkit"/>
    <s v=" Zepto"/>
    <s v=" Swiggy Instamart"/>
    <m/>
    <m/>
    <m/>
    <x v="0"/>
    <s v="6-12 months"/>
    <s v="Below ₹200"/>
    <s v="Afternoon"/>
    <s v="Debit/Credit Card"/>
    <s v="Groceries"/>
    <s v=" Snacks and Beverages"/>
    <s v=" Daily Essentials"/>
    <s v=" Personal Care"/>
    <s v=" Medicines"/>
    <s v="Agree"/>
    <s v="Neutral"/>
    <s v="Neutral"/>
    <s v="Agree"/>
    <s v="Neutral"/>
    <s v="Neutral"/>
    <s v="Neutral"/>
    <s v="Agree"/>
    <s v="Agree"/>
    <s v="Agree"/>
    <n v="3"/>
    <n v="4"/>
    <n v="3"/>
    <s v="Fast Delivery"/>
    <m/>
    <m/>
    <m/>
    <m/>
    <m/>
    <m/>
    <m/>
    <m/>
    <m/>
    <m/>
    <m/>
    <m/>
    <m/>
    <m/>
    <m/>
    <m/>
    <m/>
    <m/>
    <m/>
    <m/>
  </r>
  <r>
    <n v="25"/>
    <x v="0"/>
    <x v="0"/>
    <x v="0"/>
    <x v="0"/>
    <x v="1"/>
    <s v="Yes"/>
    <x v="0"/>
    <n v="1"/>
    <s v="Blinkit"/>
    <m/>
    <m/>
    <m/>
    <m/>
    <m/>
    <x v="0"/>
    <s v="6-12 months"/>
    <s v="Below ₹200"/>
    <s v="Evening"/>
    <s v="Cash on Delivery"/>
    <s v="Groceries"/>
    <s v=" Snacks and Beverages"/>
    <s v=" Daily Essentials"/>
    <s v=" Personal Care"/>
    <s v=" Medicines"/>
    <s v="Neutral"/>
    <s v="Neutral"/>
    <s v="Disagree"/>
    <s v="Neutral"/>
    <s v="Disagree"/>
    <s v="Agree"/>
    <s v="Disagree"/>
    <s v="Neutral"/>
    <s v="Agree"/>
    <s v="Neutral"/>
    <n v="4"/>
    <n v="3"/>
    <n v="3"/>
    <s v="Emergency Needs"/>
    <m/>
    <m/>
    <m/>
    <m/>
    <m/>
    <m/>
    <m/>
    <m/>
    <m/>
    <m/>
    <m/>
    <m/>
    <m/>
    <m/>
    <m/>
    <m/>
    <m/>
    <m/>
    <m/>
    <m/>
  </r>
  <r>
    <n v="60"/>
    <x v="2"/>
    <x v="0"/>
    <x v="2"/>
    <x v="4"/>
    <x v="0"/>
    <s v="Yes"/>
    <x v="0"/>
    <n v="1"/>
    <s v="Blinkit"/>
    <m/>
    <m/>
    <m/>
    <m/>
    <m/>
    <x v="0"/>
    <s v="More than a year"/>
    <s v="₹400 - ₹600"/>
    <s v="Afternoon"/>
    <s v="UPI"/>
    <s v="Groceries"/>
    <s v=" Snacks and Beverages"/>
    <s v=" Daily Essentials"/>
    <s v=" Personal Care"/>
    <m/>
    <s v="Agree"/>
    <s v="Neutral"/>
    <s v="Agree"/>
    <s v="Neutral"/>
    <s v="Neutral"/>
    <s v="Neutral"/>
    <s v="Agree"/>
    <s v="Agree"/>
    <s v="Agree"/>
    <s v="Agree"/>
    <n v="4"/>
    <n v="3"/>
    <n v="3"/>
    <s v="Convenience"/>
    <m/>
    <m/>
    <m/>
    <m/>
    <m/>
    <m/>
    <m/>
    <m/>
    <m/>
    <m/>
    <m/>
    <m/>
    <m/>
    <m/>
    <m/>
    <m/>
    <m/>
    <m/>
    <m/>
    <m/>
  </r>
  <r>
    <n v="29"/>
    <x v="1"/>
    <x v="0"/>
    <x v="2"/>
    <x v="2"/>
    <x v="0"/>
    <s v="Yes"/>
    <x v="0"/>
    <n v="1"/>
    <s v="Blinkit"/>
    <m/>
    <m/>
    <m/>
    <m/>
    <m/>
    <x v="0"/>
    <s v="More than a year"/>
    <s v="₹400 - ₹600"/>
    <s v="Midnight"/>
    <s v="UPI"/>
    <s v="Groceries"/>
    <s v=" Snacks and Beverages"/>
    <s v=" Daily Essentials"/>
    <s v=" Personal Care"/>
    <m/>
    <s v="Neutral"/>
    <s v="Neutral"/>
    <s v="Agree"/>
    <s v="Neutral"/>
    <s v="Neutral"/>
    <s v="Neutral"/>
    <s v="Agree"/>
    <s v="Agree"/>
    <s v="Agree"/>
    <s v="Agree"/>
    <n v="3"/>
    <n v="3"/>
    <n v="3"/>
    <s v="Convenience"/>
    <m/>
    <m/>
    <m/>
    <m/>
    <m/>
    <m/>
    <m/>
    <m/>
    <m/>
    <m/>
    <m/>
    <m/>
    <m/>
    <m/>
    <m/>
    <m/>
    <m/>
    <m/>
    <m/>
    <m/>
  </r>
  <r>
    <n v="45"/>
    <x v="3"/>
    <x v="0"/>
    <x v="1"/>
    <x v="2"/>
    <x v="3"/>
    <s v="Yes"/>
    <x v="0"/>
    <n v="1"/>
    <s v="Blinkit"/>
    <s v=" Zepto"/>
    <s v=" Swiggy Instamart"/>
    <m/>
    <m/>
    <m/>
    <x v="3"/>
    <s v="More than a year"/>
    <s v="₹400 - ₹600"/>
    <s v="Night"/>
    <s v="Cash on Delivery"/>
    <s v="Groceries"/>
    <s v=" Snacks and Beverages"/>
    <s v=" Daily Essentials"/>
    <s v=" Personal Care"/>
    <s v=" Medicines"/>
    <s v="Neutral"/>
    <s v="Neutral"/>
    <s v="Neutral"/>
    <s v="Agree"/>
    <s v="Agree"/>
    <s v="Neutral"/>
    <s v="Agree"/>
    <s v="Agree"/>
    <s v="Agree"/>
    <s v="Agree"/>
    <n v="4"/>
    <n v="3"/>
    <n v="3"/>
    <s v="Convenience"/>
    <m/>
    <m/>
    <m/>
    <m/>
    <m/>
    <m/>
    <m/>
    <m/>
    <m/>
    <m/>
    <m/>
    <m/>
    <m/>
    <m/>
    <m/>
    <m/>
    <m/>
    <m/>
    <m/>
    <m/>
  </r>
  <r>
    <n v="24"/>
    <x v="0"/>
    <x v="0"/>
    <x v="1"/>
    <x v="0"/>
    <x v="0"/>
    <s v="Yes"/>
    <x v="0"/>
    <n v="1"/>
    <s v="Blinkit"/>
    <s v=" Zepto"/>
    <s v=" Swiggy Instamart"/>
    <m/>
    <m/>
    <m/>
    <x v="0"/>
    <s v="More than a year"/>
    <s v="₹200 - ₹400"/>
    <s v="Morning"/>
    <s v="UPI"/>
    <s v="Groceries"/>
    <s v=" Snacks and Beverages"/>
    <s v=" Daily Essentials"/>
    <s v=" Personal Care"/>
    <m/>
    <s v="Neutral"/>
    <s v="Neutral"/>
    <s v="Agree"/>
    <s v="Neutral"/>
    <s v="Agree"/>
    <s v="Agree"/>
    <s v="Agree"/>
    <s v="Neutral"/>
    <s v="Agree"/>
    <s v="Agree"/>
    <n v="4"/>
    <n v="3"/>
    <n v="3"/>
    <s v="Emergency Needs"/>
    <m/>
    <m/>
    <m/>
    <m/>
    <m/>
    <m/>
    <m/>
    <m/>
    <m/>
    <m/>
    <m/>
    <m/>
    <m/>
    <m/>
    <m/>
    <m/>
    <m/>
    <m/>
    <m/>
    <m/>
  </r>
  <r>
    <n v="36"/>
    <x v="4"/>
    <x v="0"/>
    <x v="2"/>
    <x v="2"/>
    <x v="0"/>
    <s v="Yes"/>
    <x v="0"/>
    <n v="1"/>
    <s v="Blinkit"/>
    <s v=" Zepto"/>
    <s v=" Swiggy Instamart"/>
    <m/>
    <m/>
    <m/>
    <x v="0"/>
    <s v="More than a year"/>
    <s v="₹200 - ₹400"/>
    <s v="Evening"/>
    <s v="Cash on Delivery"/>
    <s v="Groceries"/>
    <s v=" Snacks and Beverages"/>
    <s v=" Daily Essentials"/>
    <s v=" Personal Care"/>
    <m/>
    <s v="Neutral"/>
    <s v="Neutral"/>
    <s v="Agree"/>
    <s v="Agree"/>
    <s v="Neutral"/>
    <s v="Agree"/>
    <s v="Agree"/>
    <s v="Agree"/>
    <s v="Neutral"/>
    <s v="Agree"/>
    <n v="4"/>
    <n v="3"/>
    <n v="4"/>
    <s v="Convenience"/>
    <m/>
    <m/>
    <m/>
    <m/>
    <m/>
    <m/>
    <m/>
    <m/>
    <m/>
    <m/>
    <m/>
    <m/>
    <m/>
    <m/>
    <m/>
    <m/>
    <m/>
    <m/>
    <m/>
    <m/>
  </r>
  <r>
    <n v="62"/>
    <x v="2"/>
    <x v="0"/>
    <x v="1"/>
    <x v="1"/>
    <x v="1"/>
    <s v="Yes"/>
    <x v="0"/>
    <n v="1"/>
    <s v="Blinkit"/>
    <s v=" Zepto"/>
    <m/>
    <m/>
    <m/>
    <m/>
    <x v="3"/>
    <s v="3-6 months"/>
    <s v="Below ₹200"/>
    <s v="Evening"/>
    <s v="Wallets (Paytm, PhonePe, etc.)"/>
    <m/>
    <m/>
    <m/>
    <s v="Personal Care"/>
    <s v=" Medicines"/>
    <s v="Disagree"/>
    <s v="Agree"/>
    <s v="Neutral"/>
    <s v="Disagree"/>
    <s v="Strongly Agree"/>
    <s v="Strongly Agree"/>
    <s v="Neutral"/>
    <s v="Disagree"/>
    <s v="Agree"/>
    <s v="Neutral"/>
    <n v="4"/>
    <n v="5"/>
    <n v="4"/>
    <s v="Improved Customer Support"/>
    <m/>
    <m/>
    <m/>
    <m/>
    <m/>
    <m/>
    <m/>
    <m/>
    <m/>
    <m/>
    <m/>
    <m/>
    <m/>
    <m/>
    <m/>
    <m/>
    <m/>
    <m/>
    <m/>
    <m/>
  </r>
  <r>
    <n v="30"/>
    <x v="1"/>
    <x v="0"/>
    <x v="2"/>
    <x v="0"/>
    <x v="0"/>
    <s v="Yes"/>
    <x v="0"/>
    <n v="1"/>
    <m/>
    <s v="Zepto"/>
    <m/>
    <m/>
    <m/>
    <m/>
    <x v="3"/>
    <s v="3-6 months"/>
    <s v="₹200 - ₹400"/>
    <s v="Morning"/>
    <s v="Cash on Delivery"/>
    <s v="Groceries"/>
    <m/>
    <m/>
    <m/>
    <m/>
    <s v="Disagree"/>
    <s v="Agree"/>
    <s v="Agree"/>
    <s v="Agree"/>
    <s v="Agree"/>
    <s v="Neutral"/>
    <s v="Agree"/>
    <s v="Neutral"/>
    <s v="Agree"/>
    <s v="Agree"/>
    <n v="3"/>
    <n v="3"/>
    <n v="3"/>
    <s v="Convenience"/>
    <m/>
    <m/>
    <m/>
    <m/>
    <m/>
    <m/>
    <m/>
    <m/>
    <m/>
    <m/>
    <m/>
    <m/>
    <m/>
    <m/>
    <m/>
    <m/>
    <m/>
    <m/>
    <m/>
    <m/>
  </r>
  <r>
    <n v="28"/>
    <x v="1"/>
    <x v="0"/>
    <x v="0"/>
    <x v="2"/>
    <x v="3"/>
    <s v="Yes"/>
    <x v="0"/>
    <n v="1"/>
    <s v="Blinkit"/>
    <s v=" Zepto"/>
    <s v=" Swiggy Instamart"/>
    <m/>
    <m/>
    <m/>
    <x v="3"/>
    <s v="Less than 3 months"/>
    <s v="Below ₹200"/>
    <s v="Evening"/>
    <s v="Cash on Delivery"/>
    <s v="Groceries"/>
    <s v=" Snacks and Beverages"/>
    <m/>
    <m/>
    <m/>
    <s v="Neutral"/>
    <s v="Neutral"/>
    <s v="Agree"/>
    <s v="Neutral"/>
    <s v="Neutral"/>
    <s v="Neutral"/>
    <s v="Agree"/>
    <s v="Agree"/>
    <s v="Agree"/>
    <s v="Neutral"/>
    <n v="3"/>
    <n v="3"/>
    <n v="3"/>
    <s v="Convenience"/>
    <m/>
    <m/>
    <m/>
    <m/>
    <m/>
    <m/>
    <m/>
    <m/>
    <m/>
    <m/>
    <m/>
    <m/>
    <m/>
    <m/>
    <m/>
    <m/>
    <m/>
    <m/>
    <m/>
    <m/>
  </r>
  <r>
    <n v="27"/>
    <x v="1"/>
    <x v="0"/>
    <x v="1"/>
    <x v="0"/>
    <x v="1"/>
    <s v="Yes"/>
    <x v="0"/>
    <n v="1"/>
    <m/>
    <s v="Zepto"/>
    <s v=" Swiggy Instamart"/>
    <m/>
    <m/>
    <m/>
    <x v="3"/>
    <s v="Less than 3 months"/>
    <s v="Below ₹200"/>
    <s v="Evening"/>
    <s v="UPI"/>
    <s v="Groceries"/>
    <s v=" Snacks and Beverages"/>
    <s v=" Daily Essentials"/>
    <m/>
    <m/>
    <s v="Neutral"/>
    <s v="Neutral"/>
    <s v="Agree"/>
    <s v="Agree"/>
    <s v="Neutral"/>
    <s v="Neutral"/>
    <s v="Neutral"/>
    <s v="Agree"/>
    <s v="Neutral"/>
    <s v="Neutral"/>
    <n v="3"/>
    <n v="3"/>
    <n v="3"/>
    <s v="Convenience"/>
    <m/>
    <m/>
    <m/>
    <m/>
    <m/>
    <m/>
    <m/>
    <m/>
    <m/>
    <m/>
    <m/>
    <m/>
    <m/>
    <m/>
    <m/>
    <m/>
    <m/>
    <m/>
    <m/>
    <m/>
  </r>
  <r>
    <n v="27"/>
    <x v="1"/>
    <x v="1"/>
    <x v="2"/>
    <x v="2"/>
    <x v="0"/>
    <s v="Yes"/>
    <x v="0"/>
    <n v="1"/>
    <s v="Blinkit"/>
    <s v=" Zepto"/>
    <s v=" Swiggy Instamart"/>
    <m/>
    <m/>
    <m/>
    <x v="3"/>
    <s v="More than a year"/>
    <s v="Above ₹600"/>
    <s v="Midnight"/>
    <s v="UPI"/>
    <s v="Groceries"/>
    <s v=" Snacks and Beverages"/>
    <s v=" Daily Essentials"/>
    <s v=" Medicines"/>
    <m/>
    <s v="Strongly Agree"/>
    <s v="Agree"/>
    <s v="Disagree"/>
    <s v="Strongly Agree"/>
    <s v="Disagree"/>
    <s v="Strongly Agree"/>
    <s v="Strongly Agree"/>
    <s v="Strongly Agree"/>
    <s v="Strongly Agree"/>
    <s v="Strongly Agree"/>
    <n v="5"/>
    <n v="5"/>
    <n v="5"/>
    <s v="Fast Delivery"/>
    <m/>
    <m/>
    <m/>
    <m/>
    <m/>
    <m/>
    <m/>
    <m/>
    <m/>
    <m/>
    <m/>
    <m/>
    <m/>
    <m/>
    <m/>
    <m/>
    <m/>
    <m/>
    <m/>
    <m/>
  </r>
  <r>
    <n v="34"/>
    <x v="4"/>
    <x v="0"/>
    <x v="1"/>
    <x v="1"/>
    <x v="3"/>
    <s v="Yes"/>
    <x v="0"/>
    <n v="1"/>
    <s v="Blinkit"/>
    <m/>
    <m/>
    <m/>
    <m/>
    <m/>
    <x v="0"/>
    <s v="3-6 months"/>
    <s v="Below ₹200"/>
    <s v="Evening"/>
    <s v="Cash on Delivery"/>
    <s v="Groceries"/>
    <m/>
    <s v=" Daily Essentials"/>
    <s v=" Personal Care"/>
    <m/>
    <s v="Neutral"/>
    <s v="Agree"/>
    <s v="Agree"/>
    <s v="Neutral"/>
    <s v="Agree"/>
    <s v="Neutral"/>
    <s v="Neutral"/>
    <s v="Agree"/>
    <s v="Agree"/>
    <s v="Agree"/>
    <n v="4"/>
    <n v="4"/>
    <n v="4"/>
    <s v="Convenience"/>
    <m/>
    <m/>
    <m/>
    <m/>
    <m/>
    <m/>
    <m/>
    <m/>
    <m/>
    <m/>
    <m/>
    <m/>
    <m/>
    <m/>
    <m/>
    <m/>
    <m/>
    <m/>
    <m/>
    <m/>
  </r>
  <r>
    <n v="39"/>
    <x v="4"/>
    <x v="0"/>
    <x v="2"/>
    <x v="2"/>
    <x v="3"/>
    <s v="Yes"/>
    <x v="0"/>
    <n v="1"/>
    <s v="Blinkit"/>
    <s v=" Zepto"/>
    <m/>
    <m/>
    <m/>
    <m/>
    <x v="0"/>
    <s v="More than a year"/>
    <s v="₹200 - ₹400"/>
    <s v="Evening"/>
    <s v="UPI"/>
    <s v="Groceries"/>
    <s v=" Snacks and Beverages"/>
    <s v=" Daily Essentials"/>
    <s v=" Personal Care"/>
    <m/>
    <s v="Neutral"/>
    <s v="Agree"/>
    <s v="Neutral"/>
    <s v="Agree"/>
    <s v="Neutral"/>
    <s v="Neutral"/>
    <s v="Agree"/>
    <s v="Agree"/>
    <s v="Agree"/>
    <s v="Agree"/>
    <n v="3"/>
    <n v="3"/>
    <n v="3"/>
    <s v="Convenience"/>
    <m/>
    <m/>
    <m/>
    <m/>
    <m/>
    <m/>
    <m/>
    <m/>
    <m/>
    <m/>
    <m/>
    <m/>
    <m/>
    <m/>
    <m/>
    <m/>
    <m/>
    <m/>
    <m/>
    <m/>
  </r>
  <r>
    <n v="45"/>
    <x v="3"/>
    <x v="0"/>
    <x v="2"/>
    <x v="1"/>
    <x v="0"/>
    <s v="Yes"/>
    <x v="0"/>
    <n v="1"/>
    <s v="Blinkit"/>
    <m/>
    <m/>
    <m/>
    <m/>
    <m/>
    <x v="0"/>
    <s v="3-6 months"/>
    <s v="Below ₹200"/>
    <s v="Evening"/>
    <s v="Cash on Delivery"/>
    <s v="Groceries"/>
    <s v=" Snacks and Beverages"/>
    <s v=" Daily Essentials"/>
    <s v=" Personal Care"/>
    <m/>
    <s v="Neutral"/>
    <s v="Agree"/>
    <s v="Agree"/>
    <s v="Neutral"/>
    <s v="Agree"/>
    <s v="Neutral"/>
    <s v="Neutral"/>
    <s v="Agree"/>
    <s v="Neutral"/>
    <s v="Neutral"/>
    <n v="4"/>
    <n v="3"/>
    <n v="3"/>
    <s v="Convenience"/>
    <m/>
    <m/>
    <m/>
    <m/>
    <m/>
    <m/>
    <m/>
    <m/>
    <m/>
    <m/>
    <m/>
    <m/>
    <m/>
    <m/>
    <m/>
    <m/>
    <m/>
    <m/>
    <m/>
    <m/>
  </r>
  <r>
    <n v="47"/>
    <x v="3"/>
    <x v="0"/>
    <x v="1"/>
    <x v="1"/>
    <x v="3"/>
    <s v="Yes"/>
    <x v="0"/>
    <n v="1"/>
    <s v="Blinkit"/>
    <m/>
    <m/>
    <m/>
    <m/>
    <m/>
    <x v="0"/>
    <s v="6-12 months"/>
    <s v="₹200 - ₹400"/>
    <s v="Morning"/>
    <s v="Cash on Delivery"/>
    <s v="Groceries"/>
    <s v=" Snacks and Beverages"/>
    <s v=" Daily Essentials"/>
    <s v=" Personal Care"/>
    <m/>
    <s v="Disagree"/>
    <s v="Neutral"/>
    <s v="Neutral"/>
    <s v="Agree"/>
    <s v="Agree"/>
    <s v="Neutral"/>
    <s v="Neutral"/>
    <s v="Agree"/>
    <s v="Agree"/>
    <s v="Agree"/>
    <n v="3"/>
    <n v="3"/>
    <n v="3"/>
    <s v="Convenience"/>
    <m/>
    <m/>
    <m/>
    <m/>
    <m/>
    <m/>
    <m/>
    <m/>
    <m/>
    <m/>
    <m/>
    <m/>
    <m/>
    <m/>
    <m/>
    <m/>
    <m/>
    <m/>
    <m/>
    <m/>
  </r>
  <r>
    <n v="34"/>
    <x v="4"/>
    <x v="0"/>
    <x v="1"/>
    <x v="1"/>
    <x v="0"/>
    <s v="Yes"/>
    <x v="0"/>
    <n v="1"/>
    <s v="Blinkit"/>
    <s v=" Zepto"/>
    <s v=" Swiggy Instamart"/>
    <m/>
    <m/>
    <m/>
    <x v="0"/>
    <s v="More than a year"/>
    <s v="₹200 - ₹400"/>
    <s v="Night"/>
    <s v="Cash on Delivery"/>
    <s v="Groceries"/>
    <s v=" Snacks and Beverages"/>
    <s v=" Daily Essentials"/>
    <s v=" Personal Care"/>
    <m/>
    <s v="Neutral"/>
    <s v="Neutral"/>
    <s v="Agree"/>
    <s v="Agree"/>
    <s v="Neutral"/>
    <s v="Neutral"/>
    <s v="Agree"/>
    <s v="Agree"/>
    <s v="Agree"/>
    <s v="Neutral"/>
    <n v="3"/>
    <n v="3"/>
    <n v="3"/>
    <s v="Convenience"/>
    <m/>
    <m/>
    <m/>
    <m/>
    <m/>
    <m/>
    <m/>
    <m/>
    <m/>
    <m/>
    <m/>
    <m/>
    <m/>
    <m/>
    <m/>
    <m/>
    <m/>
    <m/>
    <m/>
    <m/>
  </r>
  <r>
    <n v="35"/>
    <x v="4"/>
    <x v="0"/>
    <x v="0"/>
    <x v="1"/>
    <x v="0"/>
    <s v="Yes"/>
    <x v="0"/>
    <n v="1"/>
    <s v="Blinkit"/>
    <s v=" Zepto"/>
    <s v=" Swiggy Instamart"/>
    <m/>
    <m/>
    <m/>
    <x v="2"/>
    <s v="More than a year"/>
    <s v="Above ₹600"/>
    <s v="Midnight"/>
    <s v="Cash on Delivery"/>
    <m/>
    <s v="Snacks and Beverages"/>
    <m/>
    <m/>
    <m/>
    <s v="Strongly Agree"/>
    <s v="Strongly Agree"/>
    <s v="Disagree"/>
    <s v="Strongly Agree"/>
    <s v="Disagree"/>
    <s v="Strongly Agree"/>
    <s v="Neutral"/>
    <s v="Strongly Agree"/>
    <s v="Strongly Agree"/>
    <s v="Strongly Agree"/>
    <n v="5"/>
    <n v="5"/>
    <n v="5"/>
    <s v="Convenience"/>
    <m/>
    <m/>
    <m/>
    <m/>
    <m/>
    <m/>
    <m/>
    <m/>
    <m/>
    <m/>
    <m/>
    <m/>
    <m/>
    <m/>
    <m/>
    <m/>
    <m/>
    <m/>
    <m/>
    <m/>
  </r>
  <r>
    <n v="39"/>
    <x v="4"/>
    <x v="1"/>
    <x v="0"/>
    <x v="1"/>
    <x v="1"/>
    <s v="Yes"/>
    <x v="0"/>
    <n v="1"/>
    <s v="Blinkit"/>
    <s v=" Zepto"/>
    <s v=" Swiggy Instamart"/>
    <m/>
    <m/>
    <m/>
    <x v="3"/>
    <s v="3-6 months"/>
    <s v="₹200 - ₹400"/>
    <s v="Morning"/>
    <s v="Wallets (Paytm, PhonePe, etc.)"/>
    <s v="Groceries"/>
    <m/>
    <s v=" Daily Essentials"/>
    <s v=" Personal Care"/>
    <m/>
    <s v="Agree"/>
    <s v="Agree"/>
    <s v="Strongly Agree"/>
    <s v="Neutral"/>
    <s v="Strongly Agree"/>
    <s v="Agree"/>
    <s v="Neutral"/>
    <s v="Strongly Agree"/>
    <s v="Agree"/>
    <s v="Agree"/>
    <n v="3"/>
    <n v="4"/>
    <n v="3"/>
    <s v="Better Offers"/>
    <m/>
    <m/>
    <m/>
    <m/>
    <m/>
    <m/>
    <m/>
    <m/>
    <m/>
    <m/>
    <m/>
    <m/>
    <m/>
    <m/>
    <m/>
    <m/>
    <m/>
    <m/>
    <m/>
    <m/>
  </r>
  <r>
    <n v="40"/>
    <x v="4"/>
    <x v="0"/>
    <x v="2"/>
    <x v="2"/>
    <x v="3"/>
    <s v="Yes"/>
    <x v="0"/>
    <n v="1"/>
    <s v="Blinkit"/>
    <s v=" Zepto"/>
    <s v=" Swiggy Instamart"/>
    <m/>
    <m/>
    <m/>
    <x v="2"/>
    <s v="3-6 months"/>
    <s v="₹200 - ₹400"/>
    <s v="Night"/>
    <s v="Wallets (Paytm, PhonePe, etc.)"/>
    <s v="Groceries"/>
    <s v=" Snacks and Beverages"/>
    <m/>
    <m/>
    <s v=" Medicines"/>
    <s v="Neutral"/>
    <s v="Neutral"/>
    <s v="Strongly Agree"/>
    <s v="Neutral"/>
    <s v="Strongly Agree"/>
    <s v="Agree"/>
    <s v="Neutral"/>
    <s v="Agree"/>
    <s v="Neutral"/>
    <s v="Strongly Agree"/>
    <n v="4"/>
    <n v="5"/>
    <n v="5"/>
    <s v="Lower Delivery Fees"/>
    <m/>
    <m/>
    <m/>
    <m/>
    <m/>
    <m/>
    <m/>
    <m/>
    <m/>
    <m/>
    <m/>
    <m/>
    <m/>
    <m/>
    <m/>
    <m/>
    <m/>
    <m/>
    <m/>
    <m/>
  </r>
  <r>
    <n v="59"/>
    <x v="2"/>
    <x v="1"/>
    <x v="1"/>
    <x v="4"/>
    <x v="2"/>
    <s v="Yes"/>
    <x v="0"/>
    <n v="1"/>
    <s v="Blinkit"/>
    <m/>
    <s v=" Swiggy Instamart"/>
    <m/>
    <m/>
    <m/>
    <x v="2"/>
    <s v="6-12 months"/>
    <s v="Below ₹200"/>
    <s v="Afternoon"/>
    <s v="Cash on Delivery"/>
    <s v="Groceries"/>
    <m/>
    <s v=" Daily Essentials"/>
    <m/>
    <s v=" Medicines"/>
    <s v="Neutral"/>
    <s v="Neutral"/>
    <s v="Neutral"/>
    <s v="Neutral"/>
    <s v="Neutral"/>
    <s v="Neutral"/>
    <s v="Neutral"/>
    <s v="Neutral"/>
    <s v="Neutral"/>
    <s v="Agree"/>
    <n v="3"/>
    <n v="2"/>
    <n v="2"/>
    <s v="Emergency Needs"/>
    <m/>
    <m/>
    <m/>
    <m/>
    <m/>
    <m/>
    <m/>
    <m/>
    <m/>
    <m/>
    <m/>
    <m/>
    <m/>
    <m/>
    <m/>
    <m/>
    <m/>
    <m/>
    <m/>
    <m/>
  </r>
  <r>
    <n v="46"/>
    <x v="3"/>
    <x v="0"/>
    <x v="3"/>
    <x v="2"/>
    <x v="2"/>
    <s v="Yes"/>
    <x v="0"/>
    <n v="1"/>
    <s v="Blinkit"/>
    <m/>
    <m/>
    <m/>
    <m/>
    <m/>
    <x v="0"/>
    <s v="3-6 months"/>
    <s v="Below ₹200"/>
    <s v="Night"/>
    <s v="Cash on Delivery"/>
    <m/>
    <m/>
    <m/>
    <m/>
    <s v="Medicines"/>
    <s v="Neutral"/>
    <s v="Neutral"/>
    <s v="Strongly Agree"/>
    <s v="Neutral"/>
    <s v="Neutral"/>
    <s v="Disagree"/>
    <s v="Neutral"/>
    <s v="Neutral"/>
    <s v="Disagree"/>
    <s v="Disagree"/>
    <n v="2"/>
    <n v="2"/>
    <n v="1"/>
    <s v="Emergency Needs"/>
    <m/>
    <m/>
    <m/>
    <m/>
    <m/>
    <m/>
    <m/>
    <m/>
    <m/>
    <m/>
    <m/>
    <m/>
    <m/>
    <m/>
    <m/>
    <m/>
    <m/>
    <m/>
    <m/>
    <m/>
  </r>
  <r>
    <n v="36"/>
    <x v="4"/>
    <x v="1"/>
    <x v="4"/>
    <x v="3"/>
    <x v="1"/>
    <s v="Yes"/>
    <x v="0"/>
    <n v="1"/>
    <m/>
    <m/>
    <s v="Swiggy Instamart"/>
    <m/>
    <m/>
    <m/>
    <x v="2"/>
    <s v="6-12 months"/>
    <s v="Below ₹200"/>
    <s v="Afternoon"/>
    <s v="Cash on Delivery"/>
    <s v="Groceries"/>
    <m/>
    <m/>
    <m/>
    <m/>
    <s v="Neutral"/>
    <s v="Neutral"/>
    <s v="Strongly Agree"/>
    <s v="Neutral"/>
    <s v="Strongly Agree"/>
    <s v="Neutral"/>
    <s v="Neutral"/>
    <s v="Strongly Agree"/>
    <s v="Strongly Disagree"/>
    <s v="Neutral"/>
    <n v="2"/>
    <n v="3"/>
    <n v="3"/>
    <s v="Affordable Pricing"/>
    <m/>
    <m/>
    <m/>
    <m/>
    <m/>
    <m/>
    <m/>
    <m/>
    <m/>
    <m/>
    <m/>
    <m/>
    <m/>
    <m/>
    <m/>
    <m/>
    <m/>
    <m/>
    <m/>
    <m/>
  </r>
  <r>
    <n v="27"/>
    <x v="1"/>
    <x v="1"/>
    <x v="2"/>
    <x v="2"/>
    <x v="0"/>
    <s v="Yes"/>
    <x v="0"/>
    <n v="1"/>
    <s v="Blinkit"/>
    <s v=" Zepto"/>
    <s v=" Swiggy Instamart"/>
    <m/>
    <m/>
    <m/>
    <x v="2"/>
    <s v="More than a year"/>
    <s v="Above ₹600"/>
    <s v="Night"/>
    <s v="UPI"/>
    <s v="Groceries"/>
    <s v=" Snacks and Beverages"/>
    <s v=" Daily Essentials"/>
    <s v=" Personal Care"/>
    <s v=" Medicines"/>
    <s v="Strongly Agree"/>
    <s v="Strongly Agree"/>
    <s v="Strongly Disagree"/>
    <s v="Strongly Agree"/>
    <s v="Strongly Disagree"/>
    <s v="Neutral"/>
    <s v="Neutral"/>
    <s v="Strongly Agree"/>
    <s v="Strongly Agree"/>
    <s v="Strongly Agree"/>
    <n v="5"/>
    <n v="5"/>
    <n v="5"/>
    <s v="Product Availability"/>
    <m/>
    <m/>
    <m/>
    <m/>
    <m/>
    <m/>
    <m/>
    <m/>
    <m/>
    <m/>
    <m/>
    <m/>
    <m/>
    <m/>
    <m/>
    <m/>
    <m/>
    <m/>
    <m/>
    <m/>
  </r>
  <r>
    <n v="32"/>
    <x v="1"/>
    <x v="0"/>
    <x v="0"/>
    <x v="1"/>
    <x v="2"/>
    <s v="Yes"/>
    <x v="0"/>
    <n v="1"/>
    <s v="Blinkit"/>
    <s v=" Zepto"/>
    <s v=" Swiggy Instamart"/>
    <m/>
    <m/>
    <m/>
    <x v="0"/>
    <s v="More than a year"/>
    <s v="₹200 - ₹400"/>
    <s v="Night"/>
    <s v="Cash on Delivery"/>
    <m/>
    <s v="Snacks and Beverages"/>
    <s v=" Daily Essentials"/>
    <m/>
    <s v=" Medicines"/>
    <s v="Neutral"/>
    <s v="Neutral"/>
    <s v="Agree"/>
    <s v="Agree"/>
    <s v="Agree"/>
    <s v="Agree"/>
    <s v="Agree"/>
    <s v="Agree"/>
    <s v="Agree"/>
    <s v="Agree"/>
    <n v="4"/>
    <n v="4"/>
    <n v="4"/>
    <s v="Product Availability"/>
    <m/>
    <m/>
    <m/>
    <m/>
    <m/>
    <m/>
    <m/>
    <m/>
    <m/>
    <m/>
    <m/>
    <m/>
    <m/>
    <m/>
    <m/>
    <m/>
    <m/>
    <m/>
    <m/>
    <m/>
  </r>
  <r>
    <n v="46"/>
    <x v="3"/>
    <x v="0"/>
    <x v="1"/>
    <x v="2"/>
    <x v="1"/>
    <s v="Yes"/>
    <x v="0"/>
    <n v="1"/>
    <s v="Blinkit"/>
    <m/>
    <s v=" Swiggy Instamart"/>
    <m/>
    <m/>
    <m/>
    <x v="2"/>
    <s v="3-6 months"/>
    <s v="Below ₹200"/>
    <s v="Evening"/>
    <s v="Wallets (Paytm, PhonePe, etc.)"/>
    <m/>
    <m/>
    <m/>
    <m/>
    <s v="Medicines"/>
    <s v="Disagree"/>
    <s v="Disagree"/>
    <s v="Disagree"/>
    <s v="Disagree"/>
    <s v="Disagree"/>
    <s v="Neutral"/>
    <s v="Strongly Agree"/>
    <s v="Neutral"/>
    <s v="Neutral"/>
    <s v="Neutral"/>
    <n v="3"/>
    <n v="3"/>
    <n v="3"/>
    <s v="Emergency Needs"/>
    <m/>
    <m/>
    <m/>
    <m/>
    <m/>
    <m/>
    <m/>
    <m/>
    <m/>
    <m/>
    <m/>
    <m/>
    <m/>
    <m/>
    <m/>
    <m/>
    <m/>
    <m/>
    <m/>
    <m/>
  </r>
  <r>
    <n v="37"/>
    <x v="4"/>
    <x v="1"/>
    <x v="2"/>
    <x v="3"/>
    <x v="4"/>
    <s v="Yes"/>
    <x v="0"/>
    <n v="1"/>
    <s v="Blinkit"/>
    <s v=" Zepto"/>
    <s v=" Swiggy Instamart"/>
    <m/>
    <m/>
    <m/>
    <x v="2"/>
    <s v="6-12 months"/>
    <s v="Below ₹200"/>
    <s v="Night"/>
    <s v="Cash on Delivery"/>
    <m/>
    <m/>
    <s v="Daily Essentials"/>
    <m/>
    <m/>
    <s v="Neutral"/>
    <s v="Strongly Agree"/>
    <s v="Strongly Agree"/>
    <s v="Strongly Agree"/>
    <s v="Strongly Agree"/>
    <s v="Agree"/>
    <s v="Neutral"/>
    <s v="Agree"/>
    <s v="Neutral"/>
    <s v="Neutral"/>
    <n v="4"/>
    <n v="4"/>
    <n v="4"/>
    <s v="Better Offers"/>
    <m/>
    <m/>
    <m/>
    <m/>
    <m/>
    <m/>
    <m/>
    <m/>
    <m/>
    <m/>
    <m/>
    <m/>
    <m/>
    <m/>
    <m/>
    <m/>
    <m/>
    <m/>
    <m/>
    <m/>
  </r>
  <r>
    <n v="32"/>
    <x v="1"/>
    <x v="0"/>
    <x v="3"/>
    <x v="1"/>
    <x v="2"/>
    <s v="Yes"/>
    <x v="0"/>
    <n v="1"/>
    <s v="Blinkit"/>
    <s v=" Zepto"/>
    <s v=" Swiggy Instamart"/>
    <m/>
    <m/>
    <m/>
    <x v="2"/>
    <s v="More than a year"/>
    <s v="₹400 - ₹600"/>
    <s v="Night"/>
    <s v="Debit/Credit Card"/>
    <s v="Groceries"/>
    <m/>
    <s v=" Daily Essentials"/>
    <m/>
    <m/>
    <s v="Neutral"/>
    <s v="Neutral"/>
    <s v="Strongly Agree"/>
    <s v="Agree"/>
    <s v="Strongly Agree"/>
    <s v="Neutral"/>
    <s v="Neutral"/>
    <s v="Agree"/>
    <s v="Disagree"/>
    <s v="Agree"/>
    <n v="3"/>
    <n v="3"/>
    <n v="3"/>
    <s v="Lower Delivery Fees"/>
    <m/>
    <m/>
    <m/>
    <m/>
    <m/>
    <m/>
    <m/>
    <m/>
    <m/>
    <m/>
    <m/>
    <m/>
    <m/>
    <m/>
    <m/>
    <m/>
    <m/>
    <m/>
    <m/>
    <m/>
  </r>
  <r>
    <n v="37"/>
    <x v="4"/>
    <x v="1"/>
    <x v="0"/>
    <x v="1"/>
    <x v="1"/>
    <s v="Yes"/>
    <x v="0"/>
    <n v="1"/>
    <s v="Blinkit"/>
    <s v=" Zepto"/>
    <s v=" Swiggy Instamart"/>
    <m/>
    <m/>
    <m/>
    <x v="2"/>
    <s v="6-12 months"/>
    <s v="₹400 - ₹600"/>
    <s v="Evening"/>
    <s v="UPI"/>
    <s v="Groceries"/>
    <s v=" Snacks and Beverages"/>
    <s v=" Daily Essentials"/>
    <s v=" Personal Care"/>
    <s v=" Medicines"/>
    <s v="Strongly Agree"/>
    <s v="Agree"/>
    <s v="Agree"/>
    <s v="Strongly Agree"/>
    <s v="Strongly Agree"/>
    <s v="Agree"/>
    <s v="Agree"/>
    <s v="Neutral"/>
    <s v="Strongly Agree"/>
    <s v="Neutral"/>
    <n v="4"/>
    <n v="3"/>
    <n v="4"/>
    <s v="Lower Delivery Fees"/>
    <m/>
    <m/>
    <m/>
    <m/>
    <m/>
    <m/>
    <m/>
    <m/>
    <m/>
    <m/>
    <m/>
    <m/>
    <m/>
    <m/>
    <m/>
    <m/>
    <m/>
    <m/>
    <m/>
    <m/>
  </r>
  <r>
    <n v="33"/>
    <x v="1"/>
    <x v="0"/>
    <x v="1"/>
    <x v="2"/>
    <x v="1"/>
    <s v="Yes"/>
    <x v="0"/>
    <n v="1"/>
    <s v="Blinkit"/>
    <s v=" Zepto"/>
    <s v=" Swiggy Instamart"/>
    <m/>
    <m/>
    <m/>
    <x v="3"/>
    <s v="Less than 3 months"/>
    <s v="₹400 - ₹600"/>
    <s v="Evening"/>
    <s v="Debit/Credit Card"/>
    <m/>
    <m/>
    <m/>
    <s v="Personal Care"/>
    <m/>
    <s v="Agree"/>
    <s v="Neutral"/>
    <s v="Agree"/>
    <s v="Neutral"/>
    <s v="Strongly Agree"/>
    <s v="Neutral"/>
    <s v="Agree"/>
    <s v="Agree"/>
    <s v="Strongly Agree"/>
    <s v="Neutral"/>
    <n v="3"/>
    <n v="4"/>
    <n v="3"/>
    <s v="Lower Delivery Fees"/>
    <m/>
    <m/>
    <m/>
    <m/>
    <m/>
    <m/>
    <m/>
    <m/>
    <m/>
    <m/>
    <m/>
    <m/>
    <m/>
    <m/>
    <m/>
    <m/>
    <m/>
    <m/>
    <m/>
    <m/>
  </r>
  <r>
    <n v="44"/>
    <x v="3"/>
    <x v="1"/>
    <x v="1"/>
    <x v="1"/>
    <x v="1"/>
    <s v="Yes"/>
    <x v="0"/>
    <n v="1"/>
    <s v="Blinkit"/>
    <m/>
    <s v=" Swiggy Instamart"/>
    <m/>
    <m/>
    <m/>
    <x v="0"/>
    <s v="6-12 months"/>
    <s v="₹200 - ₹400"/>
    <s v="Afternoon"/>
    <s v="Debit/Credit Card"/>
    <s v="Groceries"/>
    <s v=" Snacks and Beverages"/>
    <m/>
    <s v=" Personal Care"/>
    <m/>
    <s v="Neutral"/>
    <s v="Agree"/>
    <s v="Agree"/>
    <s v="Neutral"/>
    <s v="Agree"/>
    <s v="Agree"/>
    <s v="Neutral"/>
    <s v="Agree"/>
    <s v="Neutral"/>
    <s v="Agree"/>
    <n v="3"/>
    <n v="3"/>
    <n v="3"/>
    <s v="Product Availability"/>
    <m/>
    <m/>
    <m/>
    <m/>
    <m/>
    <m/>
    <m/>
    <m/>
    <m/>
    <m/>
    <m/>
    <m/>
    <m/>
    <m/>
    <m/>
    <m/>
    <m/>
    <m/>
    <m/>
    <m/>
  </r>
  <r>
    <n v="32"/>
    <x v="1"/>
    <x v="0"/>
    <x v="1"/>
    <x v="2"/>
    <x v="1"/>
    <s v="Yes"/>
    <x v="0"/>
    <n v="1"/>
    <s v="Blinkit"/>
    <m/>
    <s v=" Swiggy Instamart"/>
    <m/>
    <m/>
    <m/>
    <x v="0"/>
    <s v="6-12 months"/>
    <s v="₹200 - ₹400"/>
    <s v="Afternoon"/>
    <s v="UPI"/>
    <m/>
    <m/>
    <s v="Daily Essentials"/>
    <m/>
    <m/>
    <s v="Agree"/>
    <s v="Agree"/>
    <s v="Strongly Agree"/>
    <s v="Neutral"/>
    <s v="Strongly Agree"/>
    <s v="Neutral"/>
    <s v="Strongly Agree"/>
    <s v="Agree"/>
    <s v="Agree"/>
    <s v="Strongly Agree"/>
    <n v="3"/>
    <n v="4"/>
    <n v="4"/>
    <s v="Affordable Pricing"/>
    <m/>
    <m/>
    <m/>
    <m/>
    <m/>
    <m/>
    <m/>
    <m/>
    <m/>
    <m/>
    <m/>
    <m/>
    <m/>
    <m/>
    <m/>
    <m/>
    <m/>
    <m/>
    <m/>
    <m/>
  </r>
  <r>
    <n v="26"/>
    <x v="1"/>
    <x v="1"/>
    <x v="0"/>
    <x v="3"/>
    <x v="2"/>
    <s v="Yes"/>
    <x v="0"/>
    <n v="1"/>
    <s v="Blinkit"/>
    <m/>
    <s v=" Swiggy Instamart"/>
    <m/>
    <m/>
    <m/>
    <x v="0"/>
    <s v="3-6 months"/>
    <s v="₹400 - ₹600"/>
    <s v="Evening"/>
    <s v="Wallets (Paytm, PhonePe, etc.)"/>
    <m/>
    <m/>
    <s v="Daily Essentials"/>
    <s v=" Personal Care"/>
    <m/>
    <s v="Agree"/>
    <s v="Neutral"/>
    <s v="Strongly Agree"/>
    <s v="Agree"/>
    <s v="Strongly Agree"/>
    <s v="Neutral"/>
    <s v="Agree"/>
    <s v="Neutral"/>
    <s v="Strongly Agree"/>
    <s v="Agree"/>
    <n v="3"/>
    <n v="2"/>
    <n v="3"/>
    <s v="Better Offers"/>
    <m/>
    <m/>
    <m/>
    <m/>
    <m/>
    <m/>
    <m/>
    <m/>
    <m/>
    <m/>
    <m/>
    <m/>
    <m/>
    <m/>
    <m/>
    <m/>
    <m/>
    <m/>
    <m/>
    <m/>
  </r>
  <r>
    <n v="27"/>
    <x v="1"/>
    <x v="0"/>
    <x v="2"/>
    <x v="2"/>
    <x v="0"/>
    <s v="Yes"/>
    <x v="0"/>
    <n v="1"/>
    <s v="Blinkit"/>
    <s v=" Zepto"/>
    <s v=" Swiggy Instamart"/>
    <m/>
    <m/>
    <m/>
    <x v="0"/>
    <s v="3-6 months"/>
    <s v="Above ₹600"/>
    <s v="Night"/>
    <s v="Debit/Credit Card"/>
    <s v="Groceries"/>
    <s v=" Snacks and Beverages"/>
    <s v=" Daily Essentials"/>
    <s v=" Personal Care"/>
    <s v=" Medicines"/>
    <s v="Strongly Agree"/>
    <s v="Strongly Agree"/>
    <s v="Agree"/>
    <s v="Strongly Agree"/>
    <s v="Strongly Agree"/>
    <s v="Agree"/>
    <s v="Strongly Agree"/>
    <s v="Agree"/>
    <s v="Strongly Agree"/>
    <s v="Agree"/>
    <n v="5"/>
    <n v="5"/>
    <n v="5"/>
    <s v="Product Availability"/>
    <m/>
    <m/>
    <m/>
    <m/>
    <m/>
    <m/>
    <m/>
    <m/>
    <m/>
    <m/>
    <m/>
    <m/>
    <m/>
    <m/>
    <m/>
    <m/>
    <m/>
    <m/>
    <m/>
    <m/>
  </r>
  <r>
    <n v="30"/>
    <x v="1"/>
    <x v="1"/>
    <x v="3"/>
    <x v="3"/>
    <x v="1"/>
    <s v="Yes"/>
    <x v="0"/>
    <n v="1"/>
    <s v="Blinkit"/>
    <s v=" Zepto"/>
    <s v=" Swiggy Instamart"/>
    <m/>
    <m/>
    <m/>
    <x v="0"/>
    <s v="3-6 months"/>
    <s v="₹200 - ₹400"/>
    <s v="Night"/>
    <s v="Wallets (Paytm, PhonePe, etc.)"/>
    <s v="Groceries"/>
    <s v=" Snacks and Beverages"/>
    <s v=" Daily Essentials"/>
    <s v=" Personal Care"/>
    <s v=" Medicines"/>
    <s v="Neutral"/>
    <s v="Neutral"/>
    <s v="Disagree"/>
    <s v="Agree"/>
    <s v="Disagree"/>
    <s v="Neutral"/>
    <s v="Agree"/>
    <s v="Neutral"/>
    <s v="Agree"/>
    <s v="Agree"/>
    <n v="4"/>
    <n v="3"/>
    <n v="2"/>
    <s v="Better Offers"/>
    <m/>
    <m/>
    <m/>
    <m/>
    <m/>
    <m/>
    <m/>
    <m/>
    <m/>
    <m/>
    <m/>
    <m/>
    <m/>
    <m/>
    <m/>
    <m/>
    <m/>
    <m/>
    <m/>
    <m/>
  </r>
  <r>
    <n v="44"/>
    <x v="3"/>
    <x v="1"/>
    <x v="0"/>
    <x v="1"/>
    <x v="2"/>
    <s v="Yes"/>
    <x v="0"/>
    <n v="1"/>
    <s v="Blinkit"/>
    <s v=" Zepto"/>
    <s v=" Swiggy Instamart"/>
    <m/>
    <m/>
    <m/>
    <x v="0"/>
    <s v="More than a year"/>
    <s v="₹200 - ₹400"/>
    <s v="Evening"/>
    <s v="Cash on Delivery"/>
    <m/>
    <m/>
    <m/>
    <m/>
    <s v="Medicines"/>
    <s v="Neutral"/>
    <s v="Neutral"/>
    <s v="Agree"/>
    <s v="Agree"/>
    <s v="Agree"/>
    <s v="Agree"/>
    <s v="Neutral"/>
    <s v="Disagree"/>
    <s v="Neutral"/>
    <s v="Agree"/>
    <n v="3"/>
    <n v="3"/>
    <n v="3"/>
    <s v="Product Availability"/>
    <m/>
    <m/>
    <m/>
    <m/>
    <m/>
    <m/>
    <m/>
    <m/>
    <m/>
    <m/>
    <m/>
    <m/>
    <m/>
    <m/>
    <m/>
    <m/>
    <m/>
    <m/>
    <m/>
    <m/>
  </r>
  <r>
    <n v="36"/>
    <x v="4"/>
    <x v="1"/>
    <x v="2"/>
    <x v="1"/>
    <x v="0"/>
    <s v="Yes"/>
    <x v="0"/>
    <n v="1"/>
    <s v="Blinkit"/>
    <s v=" Zepto"/>
    <s v=" Swiggy Instamart"/>
    <s v=" Big basket "/>
    <m/>
    <m/>
    <x v="3"/>
    <s v="6-12 months"/>
    <s v="₹400 - ₹600"/>
    <s v="Night"/>
    <s v="Debit/Credit Card"/>
    <s v="Groceries"/>
    <s v=" Snacks and Beverages"/>
    <s v=" Daily Essentials"/>
    <s v=" Personal Care"/>
    <m/>
    <s v="Strongly Agree"/>
    <s v="Strongly Agree"/>
    <s v="Disagree"/>
    <s v="Agree"/>
    <s v="Neutral"/>
    <s v="Agree"/>
    <s v="Agree"/>
    <s v="Neutral"/>
    <s v="Strongly Agree"/>
    <s v="Strongly Agree"/>
    <n v="4"/>
    <n v="5"/>
    <n v="5"/>
    <s v="Convenience"/>
    <m/>
    <m/>
    <m/>
    <m/>
    <m/>
    <m/>
    <m/>
    <m/>
    <m/>
    <m/>
    <m/>
    <m/>
    <m/>
    <m/>
    <m/>
    <m/>
    <m/>
    <m/>
    <m/>
    <m/>
  </r>
  <r>
    <n v="35"/>
    <x v="4"/>
    <x v="0"/>
    <x v="0"/>
    <x v="2"/>
    <x v="1"/>
    <s v="Yes"/>
    <x v="0"/>
    <n v="1"/>
    <s v="Blinkit"/>
    <s v=" Zepto"/>
    <s v=" Swiggy Instamart"/>
    <m/>
    <m/>
    <m/>
    <x v="0"/>
    <s v="6-12 months"/>
    <s v="₹400 - ₹600"/>
    <s v="Midnight"/>
    <s v="Debit/Credit Card"/>
    <m/>
    <m/>
    <s v="Daily Essentials"/>
    <m/>
    <m/>
    <s v="Neutral"/>
    <s v="Agree"/>
    <s v="Agree"/>
    <s v="Strongly Agree"/>
    <s v="Agree"/>
    <s v="Agree"/>
    <s v="Strongly Agree"/>
    <s v="Agree"/>
    <s v="Agree"/>
    <s v="Strongly Agree"/>
    <n v="5"/>
    <n v="5"/>
    <n v="5"/>
    <s v="Better Offers"/>
    <m/>
    <m/>
    <m/>
    <m/>
    <m/>
    <m/>
    <m/>
    <m/>
    <m/>
    <m/>
    <m/>
    <m/>
    <m/>
    <m/>
    <m/>
    <m/>
    <m/>
    <m/>
    <m/>
    <m/>
  </r>
  <r>
    <n v="47"/>
    <x v="3"/>
    <x v="1"/>
    <x v="0"/>
    <x v="3"/>
    <x v="1"/>
    <s v="Yes"/>
    <x v="0"/>
    <n v="1"/>
    <m/>
    <s v="Zepto"/>
    <m/>
    <m/>
    <m/>
    <m/>
    <x v="2"/>
    <s v="6-12 months"/>
    <s v="Above ₹600"/>
    <s v="Afternoon"/>
    <s v="Debit/Credit Card"/>
    <s v="Groceries"/>
    <s v=" Snacks and Beverages"/>
    <s v=" Daily Essentials"/>
    <s v=" Personal Care"/>
    <s v=" Medicines"/>
    <s v="Agree"/>
    <s v="Strongly Agree"/>
    <s v="Neutral"/>
    <s v="Strongly Agree"/>
    <s v="Neutral"/>
    <s v="Agree"/>
    <s v="Disagree"/>
    <s v="Neutral"/>
    <s v="Strongly Agree"/>
    <s v="Agree"/>
    <n v="4"/>
    <n v="4"/>
    <n v="4"/>
    <s v="Fast Delivery"/>
    <m/>
    <m/>
    <m/>
    <m/>
    <m/>
    <m/>
    <m/>
    <m/>
    <m/>
    <m/>
    <m/>
    <m/>
    <m/>
    <m/>
    <m/>
    <m/>
    <m/>
    <m/>
    <m/>
    <m/>
  </r>
  <r>
    <n v="32"/>
    <x v="1"/>
    <x v="0"/>
    <x v="2"/>
    <x v="1"/>
    <x v="0"/>
    <s v="Yes"/>
    <x v="0"/>
    <n v="1"/>
    <s v="Blinkit"/>
    <s v=" Zepto"/>
    <s v=" Swiggy Instamart"/>
    <m/>
    <m/>
    <m/>
    <x v="2"/>
    <s v="More than a year"/>
    <s v="₹200 - ₹400"/>
    <s v="Evening"/>
    <s v="Cash on Delivery"/>
    <s v="Groceries"/>
    <s v=" Snacks and Beverages"/>
    <s v=" Daily Essentials"/>
    <m/>
    <m/>
    <s v="Strongly Agree"/>
    <s v="Strongly Agree"/>
    <s v="Agree"/>
    <s v="Neutral"/>
    <s v="Agree"/>
    <s v="Agree"/>
    <s v="Agree"/>
    <s v="Neutral"/>
    <s v="Agree"/>
    <s v="Agree"/>
    <n v="4"/>
    <n v="4"/>
    <n v="4"/>
    <s v="Fast Delivery"/>
    <m/>
    <m/>
    <m/>
    <m/>
    <m/>
    <m/>
    <m/>
    <m/>
    <m/>
    <m/>
    <m/>
    <m/>
    <m/>
    <m/>
    <m/>
    <m/>
    <m/>
    <m/>
    <m/>
    <m/>
  </r>
  <r>
    <n v="27"/>
    <x v="1"/>
    <x v="1"/>
    <x v="3"/>
    <x v="1"/>
    <x v="3"/>
    <s v="Yes"/>
    <x v="0"/>
    <n v="1"/>
    <s v="Blinkit"/>
    <s v=" Zepto"/>
    <s v=" Swiggy Instamart"/>
    <m/>
    <m/>
    <m/>
    <x v="0"/>
    <s v="Less than 3 months"/>
    <s v="Above ₹600"/>
    <s v="Morning"/>
    <s v="UPI"/>
    <s v="Groceries"/>
    <m/>
    <m/>
    <m/>
    <m/>
    <s v="Agree"/>
    <s v="Strongly Agree"/>
    <s v="Agree"/>
    <s v="Strongly Agree"/>
    <s v="Strongly Agree"/>
    <s v="Agree"/>
    <s v="Strongly Agree"/>
    <s v="Agree"/>
    <s v="Strongly Agree"/>
    <s v="Strongly Agree"/>
    <n v="5"/>
    <n v="5"/>
    <n v="5"/>
    <s v="Fast Delivery"/>
    <m/>
    <m/>
    <m/>
    <m/>
    <m/>
    <m/>
    <m/>
    <m/>
    <m/>
    <m/>
    <m/>
    <m/>
    <m/>
    <m/>
    <m/>
    <m/>
    <m/>
    <m/>
    <m/>
    <m/>
  </r>
  <r>
    <n v="26"/>
    <x v="1"/>
    <x v="0"/>
    <x v="0"/>
    <x v="2"/>
    <x v="2"/>
    <s v="Yes"/>
    <x v="0"/>
    <n v="1"/>
    <s v="Blinkit"/>
    <s v=" Zepto"/>
    <s v=" Swiggy Instamart"/>
    <m/>
    <m/>
    <m/>
    <x v="0"/>
    <s v="More than a year"/>
    <s v="₹200 - ₹400"/>
    <s v="Evening"/>
    <s v="Cash on Delivery"/>
    <s v="Groceries"/>
    <s v=" Snacks and Beverages"/>
    <s v=" Daily Essentials"/>
    <s v=" Personal Care"/>
    <s v=" Medicines"/>
    <s v="Strongly Agree"/>
    <s v="Agree"/>
    <s v="Strongly Agree"/>
    <s v="Agree"/>
    <s v="Strongly Agree"/>
    <s v="Agree"/>
    <s v="Strongly Agree"/>
    <s v="Agree"/>
    <s v="Strongly Agree"/>
    <s v="Strongly Agree"/>
    <n v="5"/>
    <n v="5"/>
    <n v="5"/>
    <s v="Product Availability"/>
    <m/>
    <m/>
    <m/>
    <m/>
    <m/>
    <m/>
    <m/>
    <m/>
    <m/>
    <m/>
    <m/>
    <m/>
    <m/>
    <m/>
    <m/>
    <m/>
    <m/>
    <m/>
    <m/>
    <m/>
  </r>
  <r>
    <n v="27"/>
    <x v="1"/>
    <x v="1"/>
    <x v="0"/>
    <x v="3"/>
    <x v="4"/>
    <s v="Yes"/>
    <x v="0"/>
    <n v="1"/>
    <s v="Blinkit"/>
    <m/>
    <s v=" Swiggy Instamart"/>
    <m/>
    <m/>
    <m/>
    <x v="0"/>
    <s v="More than a year"/>
    <s v="Below ₹200"/>
    <s v="Afternoon"/>
    <s v="Wallets (Paytm, PhonePe, etc.)"/>
    <s v="Groceries"/>
    <s v=" Snacks and Beverages"/>
    <s v=" Daily Essentials"/>
    <s v=" Personal Care"/>
    <s v=" Medicines"/>
    <s v="Agree"/>
    <s v="Strongly Agree"/>
    <s v="Agree"/>
    <s v="Agree"/>
    <s v="Strongly Agree"/>
    <s v="Agree"/>
    <s v="Agree"/>
    <s v="Agree"/>
    <s v="Strongly Agree"/>
    <s v="Agree"/>
    <n v="3"/>
    <n v="3"/>
    <n v="3"/>
    <s v="Fast Delivery"/>
    <m/>
    <m/>
    <m/>
    <m/>
    <m/>
    <m/>
    <m/>
    <m/>
    <m/>
    <m/>
    <m/>
    <m/>
    <m/>
    <m/>
    <m/>
    <m/>
    <m/>
    <m/>
    <m/>
    <m/>
  </r>
  <r>
    <n v="29"/>
    <x v="1"/>
    <x v="0"/>
    <x v="2"/>
    <x v="2"/>
    <x v="3"/>
    <s v="Yes"/>
    <x v="0"/>
    <n v="1"/>
    <s v="Blinkit"/>
    <s v=" Zepto"/>
    <s v=" Swiggy Instamart"/>
    <m/>
    <m/>
    <m/>
    <x v="3"/>
    <s v="More than a year"/>
    <s v="Above ₹600"/>
    <s v="Afternoon"/>
    <s v="Debit/Credit Card"/>
    <s v="Groceries"/>
    <s v=" Snacks and Beverages"/>
    <s v=" Daily Essentials"/>
    <s v=" Personal Care"/>
    <s v=" Medicines"/>
    <s v="Strongly Agree"/>
    <s v="Strongly Agree"/>
    <s v="Disagree"/>
    <s v="Strongly Agree"/>
    <s v="Disagree"/>
    <s v="Strongly Agree"/>
    <s v="Strongly Agree"/>
    <s v="Strongly Agree"/>
    <s v="Strongly Agree"/>
    <s v="Strongly Agree"/>
    <n v="4"/>
    <n v="5"/>
    <n v="4"/>
    <s v="Product Availability"/>
    <m/>
    <m/>
    <m/>
    <m/>
    <m/>
    <m/>
    <m/>
    <m/>
    <m/>
    <m/>
    <m/>
    <m/>
    <m/>
    <m/>
    <m/>
    <m/>
    <m/>
    <m/>
    <m/>
    <m/>
  </r>
  <r>
    <n v="33"/>
    <x v="1"/>
    <x v="1"/>
    <x v="1"/>
    <x v="1"/>
    <x v="2"/>
    <s v="Yes"/>
    <x v="0"/>
    <n v="1"/>
    <s v="Blinkit"/>
    <s v=" Zepto"/>
    <s v=" Swiggy Instamart"/>
    <m/>
    <m/>
    <m/>
    <x v="2"/>
    <s v="6-12 months"/>
    <s v="₹200 - ₹400"/>
    <s v="Evening"/>
    <s v="UPI"/>
    <s v="Groceries"/>
    <m/>
    <s v=" Daily Essentials"/>
    <s v=" Personal Care"/>
    <s v=" Medicines"/>
    <s v="Neutral"/>
    <s v="Neutral"/>
    <s v="Strongly Agree"/>
    <s v="Neutral"/>
    <s v="Strongly Agree"/>
    <s v="Agree"/>
    <s v="Neutral"/>
    <s v="Neutral"/>
    <s v="Neutral"/>
    <s v="Agree"/>
    <n v="3"/>
    <n v="3"/>
    <n v="3"/>
    <s v="Affordable Pricing"/>
    <m/>
    <m/>
    <m/>
    <m/>
    <m/>
    <m/>
    <m/>
    <m/>
    <m/>
    <m/>
    <m/>
    <m/>
    <m/>
    <m/>
    <m/>
    <m/>
    <m/>
    <m/>
    <m/>
    <m/>
  </r>
  <r>
    <n v="25"/>
    <x v="0"/>
    <x v="0"/>
    <x v="2"/>
    <x v="3"/>
    <x v="3"/>
    <s v="Yes"/>
    <x v="0"/>
    <n v="1"/>
    <s v="Blinkit"/>
    <m/>
    <s v=" Swiggy Instamart"/>
    <m/>
    <m/>
    <m/>
    <x v="2"/>
    <s v="6-12 months"/>
    <s v="Above ₹600"/>
    <s v="Night"/>
    <s v="UPI"/>
    <s v="Groceries"/>
    <m/>
    <m/>
    <m/>
    <s v=" Medicines"/>
    <s v="Agree"/>
    <s v="Agree"/>
    <s v="Disagree"/>
    <s v="Neutral"/>
    <s v="Agree"/>
    <s v="Agree"/>
    <s v="Neutral"/>
    <s v="Agree"/>
    <s v="Agree"/>
    <s v="Agree"/>
    <n v="3"/>
    <n v="3"/>
    <n v="4"/>
    <s v="Better Offers"/>
    <m/>
    <m/>
    <m/>
    <m/>
    <m/>
    <m/>
    <m/>
    <m/>
    <m/>
    <m/>
    <m/>
    <m/>
    <m/>
    <m/>
    <m/>
    <m/>
    <m/>
    <m/>
    <m/>
    <m/>
  </r>
  <r>
    <n v="28"/>
    <x v="1"/>
    <x v="1"/>
    <x v="0"/>
    <x v="1"/>
    <x v="2"/>
    <s v="Yes"/>
    <x v="0"/>
    <n v="1"/>
    <s v="Blinkit"/>
    <m/>
    <s v=" Swiggy Instamart"/>
    <m/>
    <m/>
    <m/>
    <x v="0"/>
    <s v="More than a year"/>
    <s v="₹400 - ₹600"/>
    <s v="Afternoon"/>
    <s v="Cash on Delivery"/>
    <m/>
    <m/>
    <s v="Daily Essentials"/>
    <m/>
    <s v=" Medicines"/>
    <s v="Neutral"/>
    <s v="Neutral"/>
    <s v="Strongly Agree"/>
    <s v="Strongly Agree"/>
    <s v="Strongly Agree"/>
    <s v="Neutral"/>
    <s v="Neutral"/>
    <s v="Neutral"/>
    <s v="Neutral"/>
    <s v="Neutral"/>
    <n v="3"/>
    <n v="3"/>
    <n v="3"/>
    <s v="Affordable Pricing"/>
    <m/>
    <m/>
    <m/>
    <m/>
    <m/>
    <m/>
    <m/>
    <m/>
    <m/>
    <m/>
    <m/>
    <m/>
    <m/>
    <m/>
    <m/>
    <m/>
    <m/>
    <m/>
    <m/>
    <m/>
  </r>
  <r>
    <n v="37"/>
    <x v="4"/>
    <x v="0"/>
    <x v="1"/>
    <x v="2"/>
    <x v="0"/>
    <s v="Yes"/>
    <x v="0"/>
    <n v="1"/>
    <s v="Blinkit"/>
    <s v=" Zepto"/>
    <s v=" Swiggy Instamart"/>
    <m/>
    <m/>
    <m/>
    <x v="2"/>
    <s v="6-12 months"/>
    <s v="₹200 - ₹400"/>
    <s v="Morning"/>
    <s v="UPI"/>
    <s v="Groceries"/>
    <s v=" Snacks and Beverages"/>
    <s v=" Daily Essentials"/>
    <s v=" Personal Care"/>
    <s v=" Medicines"/>
    <s v="Strongly Agree"/>
    <s v="Strongly Agree"/>
    <s v="Disagree"/>
    <s v="Strongly Agree"/>
    <s v="Disagree"/>
    <s v="Strongly Agree"/>
    <s v="Strongly Agree"/>
    <s v="Strongly Agree"/>
    <s v="Strongly Agree"/>
    <s v="Strongly Agree"/>
    <n v="4"/>
    <n v="4"/>
    <n v="4"/>
    <s v="Convenience"/>
    <m/>
    <m/>
    <m/>
    <m/>
    <m/>
    <m/>
    <m/>
    <m/>
    <m/>
    <m/>
    <m/>
    <m/>
    <m/>
    <m/>
    <m/>
    <m/>
    <m/>
    <m/>
    <m/>
    <m/>
  </r>
  <r>
    <n v="28"/>
    <x v="1"/>
    <x v="1"/>
    <x v="2"/>
    <x v="1"/>
    <x v="1"/>
    <s v="Yes"/>
    <x v="0"/>
    <n v="1"/>
    <s v="Blinkit"/>
    <s v=" Zepto"/>
    <s v=" Swiggy Instamart"/>
    <m/>
    <m/>
    <m/>
    <x v="0"/>
    <s v="6-12 months"/>
    <s v="₹200 - ₹400"/>
    <s v="Morning"/>
    <s v="Debit/Credit Card"/>
    <s v="Groceries"/>
    <m/>
    <s v=" Daily Essentials"/>
    <m/>
    <m/>
    <s v="Agree"/>
    <s v="Strongly Agree"/>
    <s v="Agree"/>
    <s v="Strongly Agree"/>
    <s v="Agree"/>
    <s v="Strongly Agree"/>
    <s v="Agree"/>
    <s v="Agree"/>
    <s v="Agree"/>
    <s v="Strongly Agree"/>
    <n v="4"/>
    <n v="4"/>
    <n v="3"/>
    <s v="Product Availability"/>
    <m/>
    <m/>
    <m/>
    <m/>
    <m/>
    <m/>
    <m/>
    <m/>
    <m/>
    <m/>
    <m/>
    <m/>
    <m/>
    <m/>
    <m/>
    <m/>
    <m/>
    <m/>
    <m/>
    <m/>
  </r>
  <r>
    <n v="32"/>
    <x v="1"/>
    <x v="0"/>
    <x v="1"/>
    <x v="2"/>
    <x v="1"/>
    <s v="Yes"/>
    <x v="0"/>
    <n v="1"/>
    <s v="Blinkit"/>
    <m/>
    <s v=" Swiggy Instamart"/>
    <m/>
    <m/>
    <m/>
    <x v="0"/>
    <s v="6-12 months"/>
    <s v="₹200 - ₹400"/>
    <s v="Afternoon"/>
    <s v="Debit/Credit Card"/>
    <s v="Groceries"/>
    <m/>
    <m/>
    <m/>
    <s v=" Medicines"/>
    <s v="Neutral"/>
    <s v="Neutral"/>
    <s v="Agree"/>
    <s v="Neutral"/>
    <s v="Agree"/>
    <s v="Neutral"/>
    <s v="Neutral"/>
    <s v="Neutral"/>
    <s v="Agree"/>
    <s v="Agree"/>
    <n v="4"/>
    <n v="4"/>
    <n v="4"/>
    <s v="Fast Delivery"/>
    <m/>
    <m/>
    <m/>
    <m/>
    <m/>
    <m/>
    <m/>
    <m/>
    <m/>
    <m/>
    <m/>
    <m/>
    <m/>
    <m/>
    <m/>
    <m/>
    <m/>
    <m/>
    <m/>
    <m/>
  </r>
  <r>
    <n v="32"/>
    <x v="1"/>
    <x v="1"/>
    <x v="1"/>
    <x v="2"/>
    <x v="1"/>
    <s v="Yes"/>
    <x v="0"/>
    <n v="1"/>
    <s v="Blinkit"/>
    <s v=" Zepto"/>
    <s v=" Swiggy Instamart"/>
    <m/>
    <m/>
    <m/>
    <x v="3"/>
    <s v="6-12 months"/>
    <s v="₹400 - ₹600"/>
    <s v="Evening"/>
    <s v="Wallets (Paytm, PhonePe, etc.)"/>
    <m/>
    <m/>
    <m/>
    <s v="Personal Care"/>
    <m/>
    <s v="Neutral"/>
    <s v="Neutral"/>
    <s v="Strongly Agree"/>
    <s v="Strongly Agree"/>
    <s v="Strongly Agree"/>
    <s v="Neutral"/>
    <s v="Agree"/>
    <s v="Agree"/>
    <s v="Agree"/>
    <s v="Agree"/>
    <n v="3"/>
    <n v="3"/>
    <n v="3"/>
    <s v="Better Offers"/>
    <m/>
    <m/>
    <m/>
    <m/>
    <m/>
    <m/>
    <m/>
    <m/>
    <m/>
    <m/>
    <m/>
    <m/>
    <m/>
    <m/>
    <m/>
    <m/>
    <m/>
    <m/>
    <m/>
    <m/>
  </r>
  <r>
    <n v="24"/>
    <x v="0"/>
    <x v="0"/>
    <x v="0"/>
    <x v="1"/>
    <x v="1"/>
    <s v="Yes"/>
    <x v="0"/>
    <n v="1"/>
    <s v="Blinkit"/>
    <s v=" Zepto"/>
    <s v=" Swiggy Instamart"/>
    <m/>
    <m/>
    <m/>
    <x v="0"/>
    <s v="More than a year"/>
    <s v="Below ₹200"/>
    <s v="Morning"/>
    <s v="UPI"/>
    <s v="Groceries"/>
    <m/>
    <m/>
    <m/>
    <m/>
    <s v="Strongly Agree"/>
    <s v="Strongly Agree"/>
    <s v="Neutral"/>
    <s v="Neutral"/>
    <s v="Neutral"/>
    <s v="Neutral"/>
    <s v="Strongly Agree"/>
    <s v="Neutral"/>
    <s v="Agree"/>
    <s v="Agree"/>
    <n v="4"/>
    <n v="4"/>
    <n v="4"/>
    <s v="Emergency Needs"/>
    <m/>
    <m/>
    <m/>
    <m/>
    <m/>
    <m/>
    <m/>
    <m/>
    <m/>
    <m/>
    <m/>
    <m/>
    <m/>
    <m/>
    <m/>
    <m/>
    <m/>
    <m/>
    <m/>
    <m/>
  </r>
  <r>
    <n v="28"/>
    <x v="1"/>
    <x v="1"/>
    <x v="2"/>
    <x v="1"/>
    <x v="3"/>
    <s v="Yes"/>
    <x v="0"/>
    <n v="1"/>
    <s v="Blinkit"/>
    <s v=" Zepto"/>
    <s v=" Swiggy Instamart"/>
    <m/>
    <m/>
    <m/>
    <x v="2"/>
    <s v="3-6 months"/>
    <s v="₹400 - ₹600"/>
    <s v="Night"/>
    <s v="UPI"/>
    <s v="Groceries"/>
    <m/>
    <m/>
    <m/>
    <s v=" Medicines"/>
    <s v="Strongly Agree"/>
    <s v="Strongly Agree"/>
    <s v="Neutral"/>
    <s v="Neutral"/>
    <s v="Neutral"/>
    <s v="Strongly Agree"/>
    <s v="Strongly Agree"/>
    <s v="Strongly Agree"/>
    <s v="Strongly Agree"/>
    <s v="Strongly Agree"/>
    <n v="5"/>
    <n v="5"/>
    <n v="5"/>
    <s v="Emergency Needs"/>
    <m/>
    <m/>
    <m/>
    <m/>
    <m/>
    <m/>
    <m/>
    <m/>
    <m/>
    <m/>
    <m/>
    <m/>
    <m/>
    <m/>
    <m/>
    <m/>
    <m/>
    <m/>
    <m/>
    <m/>
  </r>
  <r>
    <n v="30"/>
    <x v="1"/>
    <x v="1"/>
    <x v="0"/>
    <x v="1"/>
    <x v="2"/>
    <s v="Yes"/>
    <x v="0"/>
    <n v="1"/>
    <s v="Blinkit"/>
    <s v=" Zepto"/>
    <s v=" Swiggy Instamart"/>
    <m/>
    <m/>
    <m/>
    <x v="2"/>
    <s v="3-6 months"/>
    <s v="₹200 - ₹400"/>
    <s v="Evening"/>
    <s v="UPI"/>
    <s v="Groceries"/>
    <s v=" Snacks and Beverages"/>
    <s v=" Daily Essentials"/>
    <s v=" Personal Care"/>
    <s v=" Medicines"/>
    <s v="Agree"/>
    <s v="Agree"/>
    <s v="Agree"/>
    <s v="Agree"/>
    <s v="Agree"/>
    <s v="Agree"/>
    <s v="Agree"/>
    <s v="Agree"/>
    <s v="Agree"/>
    <s v="Agree"/>
    <n v="4"/>
    <n v="4"/>
    <n v="4"/>
    <s v="Convenience"/>
    <m/>
    <m/>
    <m/>
    <m/>
    <m/>
    <m/>
    <m/>
    <m/>
    <m/>
    <m/>
    <m/>
    <m/>
    <m/>
    <m/>
    <m/>
    <m/>
    <m/>
    <m/>
    <m/>
    <m/>
  </r>
  <r>
    <n v="26"/>
    <x v="1"/>
    <x v="0"/>
    <x v="0"/>
    <x v="1"/>
    <x v="2"/>
    <s v="Yes"/>
    <x v="0"/>
    <n v="1"/>
    <s v="Blinkit"/>
    <s v=" Zepto"/>
    <s v=" Swiggy Instamart"/>
    <m/>
    <m/>
    <m/>
    <x v="2"/>
    <s v="6-12 months"/>
    <s v="₹400 - ₹600"/>
    <s v="Night"/>
    <s v="UPI"/>
    <s v="Groceries"/>
    <m/>
    <m/>
    <m/>
    <s v=" Medicines"/>
    <s v="Strongly Agree"/>
    <s v="Strongly Agree"/>
    <s v="Agree"/>
    <s v="Agree"/>
    <s v="Agree"/>
    <s v="Agree"/>
    <s v="Neutral"/>
    <s v="Neutral"/>
    <s v="Neutral"/>
    <s v="Neutral"/>
    <n v="3"/>
    <n v="3"/>
    <n v="3"/>
    <s v="Affordable Pricing"/>
    <m/>
    <m/>
    <m/>
    <m/>
    <m/>
    <m/>
    <m/>
    <m/>
    <m/>
    <m/>
    <m/>
    <m/>
    <m/>
    <m/>
    <m/>
    <m/>
    <m/>
    <m/>
    <m/>
    <m/>
  </r>
  <r>
    <n v="35"/>
    <x v="4"/>
    <x v="0"/>
    <x v="1"/>
    <x v="2"/>
    <x v="2"/>
    <s v="Yes"/>
    <x v="0"/>
    <n v="1"/>
    <s v="Blinkit"/>
    <s v=" Zepto"/>
    <s v=" Swiggy Instamart"/>
    <m/>
    <m/>
    <m/>
    <x v="0"/>
    <s v="3-6 months"/>
    <s v="₹200 - ₹400"/>
    <s v="Afternoon"/>
    <s v="UPI"/>
    <s v="Groceries"/>
    <m/>
    <m/>
    <m/>
    <m/>
    <s v="Agree"/>
    <s v="Strongly Agree"/>
    <s v="Agree"/>
    <s v="Agree"/>
    <s v="Agree"/>
    <s v="Agree"/>
    <s v="Agree"/>
    <s v="Neutral"/>
    <s v="Agree"/>
    <s v="Agree"/>
    <n v="4"/>
    <n v="4"/>
    <n v="4"/>
    <s v="Convenience"/>
    <m/>
    <m/>
    <m/>
    <m/>
    <m/>
    <m/>
    <m/>
    <m/>
    <m/>
    <m/>
    <m/>
    <m/>
    <m/>
    <m/>
    <m/>
    <m/>
    <m/>
    <m/>
    <m/>
    <m/>
  </r>
  <r>
    <n v="40"/>
    <x v="4"/>
    <x v="1"/>
    <x v="1"/>
    <x v="1"/>
    <x v="3"/>
    <s v="Yes"/>
    <x v="0"/>
    <n v="1"/>
    <s v="Blinkit"/>
    <m/>
    <s v=" Swiggy Instamart"/>
    <m/>
    <m/>
    <m/>
    <x v="2"/>
    <s v="6-12 months"/>
    <s v="Below ₹200"/>
    <s v="Evening"/>
    <s v="Cash on Delivery"/>
    <s v="Groceries"/>
    <s v=" Snacks and Beverages"/>
    <m/>
    <s v=" Personal Care"/>
    <m/>
    <s v="Agree"/>
    <s v="Agree"/>
    <s v="Strongly Agree"/>
    <s v="Strongly Agree"/>
    <s v="Strongly Agree"/>
    <s v="Neutral"/>
    <s v="Agree"/>
    <s v="Disagree"/>
    <s v="Strongly Agree"/>
    <s v="Strongly Agree"/>
    <n v="4"/>
    <n v="5"/>
    <n v="4"/>
    <s v="Better Offers"/>
    <m/>
    <m/>
    <m/>
    <m/>
    <m/>
    <m/>
    <m/>
    <m/>
    <m/>
    <m/>
    <m/>
    <m/>
    <m/>
    <m/>
    <m/>
    <m/>
    <m/>
    <m/>
    <m/>
    <m/>
  </r>
  <r>
    <n v="32"/>
    <x v="1"/>
    <x v="0"/>
    <x v="1"/>
    <x v="1"/>
    <x v="2"/>
    <s v="Yes"/>
    <x v="0"/>
    <n v="1"/>
    <s v="Blinkit"/>
    <m/>
    <s v=" Swiggy Instamart"/>
    <m/>
    <m/>
    <m/>
    <x v="2"/>
    <s v="6-12 months"/>
    <s v="₹400 - ₹600"/>
    <s v="Afternoon"/>
    <s v="UPI"/>
    <s v="Groceries"/>
    <m/>
    <m/>
    <m/>
    <m/>
    <s v="Agree"/>
    <s v="Strongly Agree"/>
    <s v="Agree"/>
    <s v="Strongly Agree"/>
    <s v="Agree"/>
    <s v="Neutral"/>
    <s v="Strongly Agree"/>
    <s v="Agree"/>
    <s v="Strongly Agree"/>
    <s v="Agree"/>
    <n v="3"/>
    <n v="3"/>
    <n v="3"/>
    <s v="Product Availability"/>
    <m/>
    <m/>
    <m/>
    <m/>
    <m/>
    <m/>
    <m/>
    <m/>
    <m/>
    <m/>
    <m/>
    <m/>
    <m/>
    <m/>
    <m/>
    <m/>
    <m/>
    <m/>
    <m/>
    <m/>
  </r>
  <r>
    <n v="34"/>
    <x v="4"/>
    <x v="0"/>
    <x v="1"/>
    <x v="2"/>
    <x v="1"/>
    <s v="Yes"/>
    <x v="0"/>
    <n v="1"/>
    <s v="Blinkit"/>
    <s v=" Zepto"/>
    <s v=" Swiggy Instamart"/>
    <m/>
    <m/>
    <m/>
    <x v="2"/>
    <s v="6-12 months"/>
    <s v="₹200 - ₹400"/>
    <s v="Evening"/>
    <s v="UPI"/>
    <m/>
    <s v="Snacks and Beverages"/>
    <s v=" Daily Essentials"/>
    <m/>
    <s v=" Medicines"/>
    <s v="Strongly Agree"/>
    <s v="Agree"/>
    <s v="Agree"/>
    <s v="Strongly Agree"/>
    <s v="Agree"/>
    <s v="Strongly Agree"/>
    <s v="Agree"/>
    <s v="Agree"/>
    <s v="Agree"/>
    <s v="Agree"/>
    <n v="3"/>
    <n v="3"/>
    <n v="3"/>
    <s v="Product Availability"/>
    <m/>
    <m/>
    <m/>
    <m/>
    <m/>
    <m/>
    <m/>
    <m/>
    <m/>
    <m/>
    <m/>
    <m/>
    <m/>
    <m/>
    <m/>
    <m/>
    <m/>
    <m/>
    <m/>
    <m/>
  </r>
  <r>
    <n v="35"/>
    <x v="4"/>
    <x v="0"/>
    <x v="0"/>
    <x v="2"/>
    <x v="1"/>
    <s v="Yes"/>
    <x v="0"/>
    <n v="1"/>
    <s v="Blinkit"/>
    <s v=" Zepto"/>
    <s v=" Swiggy Instamart"/>
    <m/>
    <m/>
    <m/>
    <x v="0"/>
    <s v="6-12 months"/>
    <s v="₹400 - ₹600"/>
    <s v="Evening"/>
    <s v="Wallets (Paytm, PhonePe, etc.)"/>
    <s v="Groceries"/>
    <m/>
    <m/>
    <m/>
    <s v=" Medicines"/>
    <s v="Agree"/>
    <s v="Strongly Agree"/>
    <s v="Agree"/>
    <s v="Agree"/>
    <s v="Agree"/>
    <s v="Strongly Agree"/>
    <s v="Agree"/>
    <s v="Agree"/>
    <s v="Agree"/>
    <s v="Agree"/>
    <n v="4"/>
    <n v="4"/>
    <n v="4"/>
    <s v="Product Availability"/>
    <m/>
    <m/>
    <m/>
    <m/>
    <m/>
    <m/>
    <m/>
    <m/>
    <m/>
    <m/>
    <m/>
    <m/>
    <m/>
    <m/>
    <m/>
    <m/>
    <m/>
    <m/>
    <m/>
    <m/>
  </r>
  <r>
    <n v="34"/>
    <x v="4"/>
    <x v="0"/>
    <x v="1"/>
    <x v="2"/>
    <x v="1"/>
    <s v="Yes"/>
    <x v="0"/>
    <n v="1"/>
    <s v="Blinkit"/>
    <s v=" Zepto"/>
    <s v=" Swiggy Instamart"/>
    <m/>
    <m/>
    <m/>
    <x v="0"/>
    <s v="More than a year"/>
    <s v="₹400 - ₹600"/>
    <s v="Night"/>
    <s v="Cash on Delivery"/>
    <s v="Groceries"/>
    <s v=" Snacks and Beverages"/>
    <s v=" Daily Essentials"/>
    <s v=" Personal Care"/>
    <s v=" Medicines"/>
    <s v="Neutral"/>
    <s v="Neutral"/>
    <s v="Agree"/>
    <s v="Neutral"/>
    <s v="Neutral"/>
    <s v="Agree"/>
    <s v="Neutral"/>
    <s v="Neutral"/>
    <s v="Neutral"/>
    <s v="Neutral"/>
    <n v="3"/>
    <n v="3"/>
    <n v="3"/>
    <s v="Convenience"/>
    <m/>
    <m/>
    <m/>
    <m/>
    <m/>
    <m/>
    <m/>
    <m/>
    <m/>
    <m/>
    <m/>
    <m/>
    <m/>
    <m/>
    <m/>
    <m/>
    <m/>
    <m/>
    <m/>
    <m/>
  </r>
  <r>
    <n v="29"/>
    <x v="1"/>
    <x v="0"/>
    <x v="2"/>
    <x v="2"/>
    <x v="1"/>
    <s v="Yes"/>
    <x v="0"/>
    <n v="1"/>
    <s v="Blinkit"/>
    <s v=" Zepto"/>
    <s v=" Swiggy Instamart"/>
    <m/>
    <m/>
    <m/>
    <x v="2"/>
    <s v="6-12 months"/>
    <s v="₹400 - ₹600"/>
    <s v="Midnight"/>
    <s v="UPI"/>
    <s v="Groceries"/>
    <s v=" Snacks and Beverages"/>
    <s v=" Daily Essentials"/>
    <s v=" Personal Care"/>
    <s v=" Medicines"/>
    <s v="Neutral"/>
    <s v="Neutral"/>
    <s v="Neutral"/>
    <s v="Neutral"/>
    <s v="Disagree"/>
    <s v="Neutral"/>
    <s v="Disagree"/>
    <s v="Disagree"/>
    <s v="Disagree"/>
    <s v="Agree"/>
    <n v="2"/>
    <n v="2"/>
    <n v="2"/>
    <s v="Emergency Needs"/>
    <m/>
    <m/>
    <m/>
    <m/>
    <m/>
    <m/>
    <m/>
    <m/>
    <m/>
    <m/>
    <m/>
    <m/>
    <m/>
    <m/>
    <m/>
    <m/>
    <m/>
    <m/>
    <m/>
    <m/>
  </r>
  <r>
    <n v="29"/>
    <x v="1"/>
    <x v="0"/>
    <x v="1"/>
    <x v="1"/>
    <x v="0"/>
    <s v="Yes"/>
    <x v="0"/>
    <n v="1"/>
    <s v="Blinkit"/>
    <m/>
    <s v=" Swiggy Instamart"/>
    <m/>
    <m/>
    <m/>
    <x v="2"/>
    <s v="More than a year"/>
    <s v="Above ₹600"/>
    <s v="Night"/>
    <s v="Debit/Credit Card"/>
    <s v="Groceries"/>
    <s v=" Snacks and Beverages"/>
    <s v=" Daily Essentials"/>
    <s v=" Personal Care"/>
    <s v=" Medicines"/>
    <s v="Neutral"/>
    <s v="Agree"/>
    <s v="Agree"/>
    <s v="Neutral"/>
    <s v="Neutral"/>
    <s v="Neutral"/>
    <s v="Agree"/>
    <s v="Neutral"/>
    <s v="Agree"/>
    <s v="Neutral"/>
    <n v="1"/>
    <n v="3"/>
    <n v="3"/>
    <s v="Emergency Needs"/>
    <m/>
    <m/>
    <m/>
    <m/>
    <s v="Do no trust online delivery"/>
    <m/>
    <m/>
    <m/>
    <m/>
    <m/>
    <m/>
    <m/>
    <m/>
    <m/>
    <m/>
    <m/>
    <m/>
    <m/>
    <m/>
    <m/>
  </r>
  <r>
    <n v="27"/>
    <x v="1"/>
    <x v="1"/>
    <x v="1"/>
    <x v="1"/>
    <x v="4"/>
    <s v="Yes"/>
    <x v="1"/>
    <n v="0"/>
    <m/>
    <m/>
    <m/>
    <m/>
    <m/>
    <m/>
    <x v="1"/>
    <m/>
    <m/>
    <m/>
    <m/>
    <m/>
    <m/>
    <m/>
    <m/>
    <m/>
    <m/>
    <m/>
    <m/>
    <m/>
    <m/>
    <m/>
    <m/>
    <m/>
    <m/>
    <m/>
    <m/>
    <m/>
    <m/>
    <m/>
    <m/>
    <m/>
    <m/>
    <m/>
    <m/>
    <m/>
    <m/>
    <m/>
    <m/>
    <m/>
    <s v="No"/>
    <s v="No"/>
    <s v="Yes"/>
    <s v="Disagree"/>
    <s v="Disagree"/>
    <s v="Strongly Disagree"/>
    <s v="Strongly Disagree"/>
    <s v="Strongly Disagree"/>
    <s v="Strongly Disagree"/>
    <s v="Agree"/>
  </r>
  <r>
    <n v="53"/>
    <x v="2"/>
    <x v="1"/>
    <x v="4"/>
    <x v="2"/>
    <x v="1"/>
    <s v="Yes"/>
    <x v="0"/>
    <n v="1"/>
    <s v="Blinkit"/>
    <m/>
    <m/>
    <m/>
    <m/>
    <m/>
    <x v="0"/>
    <s v="6-12 months"/>
    <s v="₹200 - ₹400"/>
    <s v="Evening"/>
    <s v="Cash on Delivery"/>
    <s v="Groceries"/>
    <m/>
    <s v=" Daily Essentials"/>
    <m/>
    <m/>
    <s v="Neutral"/>
    <s v="Agree"/>
    <s v="Neutral"/>
    <s v="Neutral"/>
    <s v="Agree"/>
    <s v="Neutral"/>
    <s v="Strongly Agree"/>
    <s v="Neutral"/>
    <s v="Neutral"/>
    <s v="Agree"/>
    <n v="3"/>
    <n v="4"/>
    <n v="4"/>
    <s v="Better Offers"/>
    <m/>
    <m/>
    <m/>
    <m/>
    <m/>
    <m/>
    <m/>
    <m/>
    <m/>
    <m/>
    <m/>
    <m/>
    <m/>
    <m/>
    <m/>
    <m/>
    <m/>
    <m/>
    <m/>
    <m/>
  </r>
  <r>
    <n v="35"/>
    <x v="4"/>
    <x v="1"/>
    <x v="0"/>
    <x v="1"/>
    <x v="2"/>
    <s v="Yes"/>
    <x v="0"/>
    <n v="1"/>
    <s v="Blinkit"/>
    <s v=" Zepto"/>
    <s v=" Swiggy Instamart"/>
    <m/>
    <m/>
    <m/>
    <x v="0"/>
    <s v="Less than 3 months"/>
    <s v="₹200 - ₹400"/>
    <s v="Night"/>
    <s v="Cash on Delivery"/>
    <m/>
    <s v="Snacks and Beverages"/>
    <s v=" Daily Essentials"/>
    <s v=" Personal Care"/>
    <m/>
    <s v="Agree"/>
    <s v="Strongly Agree"/>
    <s v="Agree"/>
    <s v="Agree"/>
    <s v="Agree"/>
    <s v="Agree"/>
    <s v="Agree"/>
    <s v="Strongly Agree"/>
    <s v="Neutral"/>
    <s v="Strongly Agree"/>
    <n v="3"/>
    <n v="4"/>
    <n v="5"/>
    <s v="Fast Delivery"/>
    <m/>
    <m/>
    <m/>
    <m/>
    <m/>
    <m/>
    <m/>
    <m/>
    <m/>
    <m/>
    <m/>
    <m/>
    <m/>
    <m/>
    <m/>
    <m/>
    <m/>
    <m/>
    <m/>
    <m/>
  </r>
  <r>
    <n v="50"/>
    <x v="2"/>
    <x v="1"/>
    <x v="1"/>
    <x v="2"/>
    <x v="2"/>
    <s v="Yes"/>
    <x v="0"/>
    <n v="1"/>
    <s v="Blinkit"/>
    <m/>
    <s v=" Swiggy Instamart"/>
    <m/>
    <m/>
    <m/>
    <x v="2"/>
    <s v="More than a year"/>
    <s v="₹200 - ₹400"/>
    <s v="Evening"/>
    <s v="UPI"/>
    <m/>
    <s v="Snacks and Beverages"/>
    <s v=" Daily Essentials"/>
    <m/>
    <m/>
    <s v="Strongly Agree"/>
    <s v="Strongly Agree"/>
    <s v="Disagree"/>
    <s v="Neutral"/>
    <s v="Disagree"/>
    <s v="Agree"/>
    <s v="Agree"/>
    <s v="Strongly Agree"/>
    <s v="Strongly Agree"/>
    <s v="Strongly Agree"/>
    <n v="5"/>
    <n v="3"/>
    <n v="5"/>
    <s v="Fast Delivery"/>
    <m/>
    <m/>
    <m/>
    <m/>
    <m/>
    <m/>
    <m/>
    <m/>
    <m/>
    <m/>
    <m/>
    <m/>
    <m/>
    <m/>
    <m/>
    <m/>
    <m/>
    <m/>
    <m/>
    <m/>
  </r>
  <r>
    <n v="26"/>
    <x v="1"/>
    <x v="1"/>
    <x v="1"/>
    <x v="3"/>
    <x v="0"/>
    <s v="Yes"/>
    <x v="0"/>
    <n v="1"/>
    <s v="Blinkit"/>
    <s v=" Zepto"/>
    <s v=" Swiggy Instamart"/>
    <m/>
    <m/>
    <m/>
    <x v="0"/>
    <s v="More than a year"/>
    <s v="₹200 - ₹400"/>
    <s v="Evening"/>
    <s v="Cash on Delivery"/>
    <s v="Groceries"/>
    <s v=" Snacks and Beverages"/>
    <s v=" Daily Essentials"/>
    <s v=" Personal Care"/>
    <m/>
    <s v="Agree"/>
    <s v="Neutral"/>
    <s v="Strongly Agree"/>
    <s v="Agree"/>
    <s v="Agree"/>
    <s v="Agree"/>
    <s v="Agree"/>
    <s v="Strongly Agree"/>
    <s v="Agree"/>
    <s v="Strongly Agree"/>
    <n v="5"/>
    <n v="3"/>
    <n v="4"/>
    <s v="Convenience"/>
    <m/>
    <m/>
    <m/>
    <m/>
    <m/>
    <m/>
    <m/>
    <m/>
    <m/>
    <m/>
    <m/>
    <m/>
    <m/>
    <m/>
    <m/>
    <m/>
    <m/>
    <m/>
    <m/>
    <m/>
  </r>
  <r>
    <n v="30"/>
    <x v="1"/>
    <x v="1"/>
    <x v="0"/>
    <x v="1"/>
    <x v="1"/>
    <s v="Yes"/>
    <x v="0"/>
    <n v="1"/>
    <s v="Blinkit"/>
    <m/>
    <m/>
    <m/>
    <m/>
    <m/>
    <x v="0"/>
    <s v="More than a year"/>
    <s v="₹200 - ₹400"/>
    <s v="Evening"/>
    <s v="UPI"/>
    <s v="Groceries"/>
    <m/>
    <m/>
    <m/>
    <m/>
    <s v="Neutral"/>
    <s v="Agree"/>
    <s v="Agree"/>
    <s v="Disagree"/>
    <s v="Strongly Agree"/>
    <s v="Disagree"/>
    <s v="Agree"/>
    <s v="Agree"/>
    <s v="Neutral"/>
    <s v="Agree"/>
    <n v="3"/>
    <n v="4"/>
    <n v="4"/>
    <s v="Emergency Needs"/>
    <m/>
    <m/>
    <m/>
    <m/>
    <m/>
    <m/>
    <m/>
    <m/>
    <m/>
    <m/>
    <m/>
    <m/>
    <m/>
    <m/>
    <m/>
    <m/>
    <m/>
    <m/>
    <m/>
    <m/>
  </r>
  <r>
    <n v="29"/>
    <x v="1"/>
    <x v="1"/>
    <x v="0"/>
    <x v="2"/>
    <x v="4"/>
    <s v="Yes"/>
    <x v="0"/>
    <n v="1"/>
    <s v="Blinkit"/>
    <s v=" Zepto"/>
    <s v=" Swiggy Instamart"/>
    <m/>
    <m/>
    <m/>
    <x v="3"/>
    <s v="3-6 months"/>
    <s v="Below ₹200"/>
    <s v="Evening"/>
    <s v="Cash on Delivery"/>
    <m/>
    <s v="Snacks and Beverages"/>
    <s v=" Daily Essentials"/>
    <m/>
    <m/>
    <s v="Agree"/>
    <s v="Neutral"/>
    <s v="Agree"/>
    <s v="Strongly Agree"/>
    <s v="Neutral"/>
    <s v="Strongly Agree"/>
    <s v="Agree"/>
    <s v="Strongly Agree"/>
    <s v="Agree"/>
    <s v="Neutral"/>
    <n v="5"/>
    <n v="4"/>
    <n v="5"/>
    <s v="Fast Delivery"/>
    <m/>
    <m/>
    <m/>
    <m/>
    <m/>
    <m/>
    <m/>
    <m/>
    <m/>
    <m/>
    <m/>
    <m/>
    <m/>
    <m/>
    <m/>
    <m/>
    <m/>
    <m/>
    <m/>
    <m/>
  </r>
  <r>
    <n v="29"/>
    <x v="1"/>
    <x v="1"/>
    <x v="0"/>
    <x v="1"/>
    <x v="0"/>
    <s v="Yes"/>
    <x v="0"/>
    <n v="1"/>
    <s v="Blinkit"/>
    <s v=" Zepto"/>
    <s v=" Swiggy Instamart"/>
    <m/>
    <m/>
    <m/>
    <x v="3"/>
    <s v="More than a year"/>
    <s v="₹200 - ₹400"/>
    <s v="Evening"/>
    <s v="UPI"/>
    <s v="Groceries"/>
    <m/>
    <m/>
    <m/>
    <s v=" Medicines"/>
    <s v="Strongly Agree"/>
    <s v="Agree"/>
    <s v="Disagree"/>
    <s v="Agree"/>
    <s v="Neutral"/>
    <s v="Agree"/>
    <s v="Disagree"/>
    <s v="Agree"/>
    <s v="Neutral"/>
    <s v="Strongly Agree"/>
    <n v="5"/>
    <n v="5"/>
    <n v="4"/>
    <s v="Affordable Pricing"/>
    <m/>
    <m/>
    <m/>
    <m/>
    <m/>
    <m/>
    <m/>
    <m/>
    <m/>
    <m/>
    <m/>
    <m/>
    <m/>
    <m/>
    <m/>
    <m/>
    <m/>
    <m/>
    <m/>
    <m/>
  </r>
  <r>
    <n v="31"/>
    <x v="1"/>
    <x v="1"/>
    <x v="2"/>
    <x v="1"/>
    <x v="3"/>
    <s v="Yes"/>
    <x v="0"/>
    <n v="1"/>
    <s v="Blinkit"/>
    <m/>
    <s v=" Swiggy Instamart"/>
    <m/>
    <m/>
    <m/>
    <x v="0"/>
    <s v="More than a year"/>
    <s v="₹200 - ₹400"/>
    <s v="Evening"/>
    <s v="UPI"/>
    <s v="Groceries"/>
    <s v=" Snacks and Beverages"/>
    <s v=" Daily Essentials"/>
    <m/>
    <m/>
    <s v="Strongly Agree"/>
    <s v="Neutral"/>
    <s v="Neutral"/>
    <s v="Neutral"/>
    <s v="Neutral"/>
    <s v="Agree"/>
    <s v="Strongly Agree"/>
    <s v="Agree"/>
    <s v="Neutral"/>
    <s v="Agree"/>
    <n v="3"/>
    <n v="4"/>
    <n v="3"/>
    <s v="Emergency Needs"/>
    <m/>
    <m/>
    <m/>
    <m/>
    <m/>
    <m/>
    <m/>
    <m/>
    <m/>
    <m/>
    <m/>
    <m/>
    <m/>
    <m/>
    <m/>
    <m/>
    <m/>
    <m/>
    <m/>
    <m/>
  </r>
  <r>
    <n v="20"/>
    <x v="0"/>
    <x v="1"/>
    <x v="0"/>
    <x v="0"/>
    <x v="1"/>
    <s v="Yes"/>
    <x v="0"/>
    <n v="1"/>
    <s v="Blinkit"/>
    <m/>
    <s v=" Swiggy Instamart"/>
    <m/>
    <m/>
    <m/>
    <x v="2"/>
    <s v="More than a year"/>
    <s v="₹400 - ₹600"/>
    <s v="Night"/>
    <s v="UPI"/>
    <s v="Groceries"/>
    <s v=" Snacks and Beverages"/>
    <s v=" Daily Essentials"/>
    <s v=" Personal Care"/>
    <m/>
    <s v="Agree"/>
    <s v="Agree"/>
    <s v="Neutral"/>
    <s v="Strongly Agree"/>
    <s v="Neutral"/>
    <s v="Neutral"/>
    <s v="Disagree"/>
    <s v="Strongly Agree"/>
    <s v="Strongly Agree"/>
    <s v="Agree"/>
    <n v="3"/>
    <n v="5"/>
    <n v="3"/>
    <s v="Emergency Needs"/>
    <m/>
    <m/>
    <m/>
    <m/>
    <m/>
    <m/>
    <m/>
    <m/>
    <m/>
    <m/>
    <m/>
    <m/>
    <m/>
    <m/>
    <m/>
    <m/>
    <m/>
    <m/>
    <m/>
    <m/>
  </r>
  <r>
    <n v="45"/>
    <x v="3"/>
    <x v="1"/>
    <x v="2"/>
    <x v="2"/>
    <x v="1"/>
    <s v="Yes"/>
    <x v="0"/>
    <n v="1"/>
    <s v="Blinkit"/>
    <s v=" Zepto"/>
    <s v=" Swiggy Instamart"/>
    <m/>
    <m/>
    <m/>
    <x v="0"/>
    <s v="More than a year"/>
    <s v="₹200 - ₹400"/>
    <s v="Night"/>
    <s v="UPI"/>
    <m/>
    <s v="Snacks and Beverages"/>
    <m/>
    <m/>
    <m/>
    <s v="Neutral"/>
    <s v="Agree"/>
    <s v="Neutral"/>
    <s v="Strongly Agree"/>
    <s v="Strongly Agree"/>
    <s v="Agree"/>
    <s v="Agree"/>
    <s v="Neutral"/>
    <s v="Strongly Agree"/>
    <s v="Strongly Agree"/>
    <n v="3"/>
    <n v="5"/>
    <n v="5"/>
    <s v="Fast Delivery"/>
    <m/>
    <m/>
    <m/>
    <m/>
    <m/>
    <m/>
    <m/>
    <m/>
    <m/>
    <m/>
    <m/>
    <m/>
    <m/>
    <m/>
    <m/>
    <m/>
    <m/>
    <m/>
    <m/>
    <m/>
  </r>
  <r>
    <n v="35"/>
    <x v="4"/>
    <x v="1"/>
    <x v="0"/>
    <x v="1"/>
    <x v="1"/>
    <s v="Yes"/>
    <x v="0"/>
    <n v="1"/>
    <s v="Blinkit"/>
    <m/>
    <m/>
    <m/>
    <m/>
    <m/>
    <x v="0"/>
    <s v="More than a year"/>
    <s v="₹200 - ₹400"/>
    <s v="Evening"/>
    <s v="UPI"/>
    <s v="Groceries"/>
    <s v=" Snacks and Beverages"/>
    <m/>
    <s v=" Personal Care"/>
    <m/>
    <s v="Agree"/>
    <s v="Neutral"/>
    <s v="Neutral"/>
    <s v="Neutral"/>
    <s v="Neutral"/>
    <s v="Agree"/>
    <s v="Agree"/>
    <s v="Agree"/>
    <s v="Strongly Agree"/>
    <s v="Agree"/>
    <n v="4"/>
    <n v="5"/>
    <n v="5"/>
    <s v="Affordable Pricing"/>
    <m/>
    <m/>
    <m/>
    <m/>
    <m/>
    <m/>
    <m/>
    <m/>
    <m/>
    <m/>
    <m/>
    <m/>
    <m/>
    <m/>
    <m/>
    <m/>
    <m/>
    <m/>
    <m/>
    <m/>
  </r>
  <r>
    <n v="38"/>
    <x v="4"/>
    <x v="1"/>
    <x v="1"/>
    <x v="3"/>
    <x v="0"/>
    <s v="Yes"/>
    <x v="0"/>
    <n v="1"/>
    <s v="Blinkit"/>
    <s v=" Zepto"/>
    <s v=" Swiggy Instamart"/>
    <m/>
    <m/>
    <m/>
    <x v="0"/>
    <s v="More than a year"/>
    <s v="₹400 - ₹600"/>
    <s v="Evening"/>
    <s v="Debit/Credit Card"/>
    <s v="Groceries"/>
    <s v=" Snacks and Beverages"/>
    <s v=" Daily Essentials"/>
    <m/>
    <s v=" Medicines"/>
    <s v="Agree"/>
    <s v="Neutral"/>
    <s v="Agree"/>
    <s v="Agree"/>
    <s v="Neutral"/>
    <s v="Strongly Agree"/>
    <s v="Agree"/>
    <s v="Agree"/>
    <s v="Neutral"/>
    <s v="Neutral"/>
    <n v="3"/>
    <n v="4"/>
    <n v="4"/>
    <s v="Convenience"/>
    <m/>
    <m/>
    <m/>
    <m/>
    <m/>
    <m/>
    <m/>
    <m/>
    <m/>
    <m/>
    <m/>
    <m/>
    <m/>
    <m/>
    <m/>
    <m/>
    <m/>
    <m/>
    <m/>
    <m/>
  </r>
  <r>
    <n v="40"/>
    <x v="4"/>
    <x v="1"/>
    <x v="2"/>
    <x v="2"/>
    <x v="0"/>
    <s v="Yes"/>
    <x v="0"/>
    <n v="1"/>
    <s v="Blinkit"/>
    <m/>
    <s v=" Swiggy Instamart"/>
    <m/>
    <m/>
    <m/>
    <x v="0"/>
    <s v="More than a year"/>
    <s v="₹200 - ₹400"/>
    <s v="Night"/>
    <s v="UPI"/>
    <m/>
    <s v="Snacks and Beverages"/>
    <m/>
    <m/>
    <m/>
    <s v="Strongly Agree"/>
    <s v="Strongly Agree"/>
    <s v="Neutral"/>
    <s v="Strongly Agree"/>
    <s v="Strongly Agree"/>
    <s v="Agree"/>
    <s v="Agree"/>
    <s v="Agree"/>
    <s v="Agree"/>
    <s v="Agree"/>
    <n v="5"/>
    <n v="4"/>
    <n v="4"/>
    <s v="Fast Delivery"/>
    <m/>
    <m/>
    <m/>
    <m/>
    <m/>
    <m/>
    <m/>
    <m/>
    <m/>
    <m/>
    <m/>
    <m/>
    <m/>
    <m/>
    <m/>
    <m/>
    <m/>
    <m/>
    <m/>
    <m/>
  </r>
  <r>
    <n v="27"/>
    <x v="1"/>
    <x v="1"/>
    <x v="1"/>
    <x v="0"/>
    <x v="1"/>
    <s v="Yes"/>
    <x v="0"/>
    <n v="1"/>
    <s v="Blinkit"/>
    <s v=" Zepto"/>
    <s v=" Swiggy Instamart"/>
    <m/>
    <m/>
    <m/>
    <x v="2"/>
    <s v="More than a year"/>
    <s v="Below ₹200"/>
    <s v="Evening"/>
    <s v="UPI"/>
    <s v="Groceries"/>
    <s v=" Snacks and Beverages"/>
    <s v=" Daily Essentials"/>
    <m/>
    <m/>
    <s v="Agree"/>
    <s v="Agree"/>
    <s v="Agree"/>
    <s v="Agree"/>
    <s v="Agree"/>
    <s v="Strongly Agree"/>
    <s v="Agree"/>
    <s v="Agree"/>
    <s v="Strongly Agree"/>
    <s v="Strongly Agree"/>
    <n v="5"/>
    <n v="4"/>
    <n v="5"/>
    <s v="Convenience"/>
    <m/>
    <m/>
    <m/>
    <m/>
    <m/>
    <m/>
    <m/>
    <m/>
    <m/>
    <m/>
    <m/>
    <m/>
    <m/>
    <m/>
    <m/>
    <m/>
    <m/>
    <m/>
    <m/>
    <m/>
  </r>
  <r>
    <n v="30"/>
    <x v="1"/>
    <x v="1"/>
    <x v="1"/>
    <x v="2"/>
    <x v="0"/>
    <s v="Yes"/>
    <x v="0"/>
    <n v="1"/>
    <s v="Blinkit"/>
    <m/>
    <m/>
    <m/>
    <m/>
    <s v=" Other"/>
    <x v="0"/>
    <s v="3-6 months"/>
    <s v="₹200 - ₹400"/>
    <s v="Night"/>
    <s v="UPI"/>
    <m/>
    <s v="Snacks and Beverages"/>
    <m/>
    <m/>
    <m/>
    <s v="Agree"/>
    <s v="Strongly Agree"/>
    <s v="Agree"/>
    <s v="Neutral"/>
    <s v="Neutral"/>
    <s v="Agree"/>
    <s v="Agree"/>
    <s v="Strongly Agree"/>
    <s v="Neutral"/>
    <s v="Neutral"/>
    <n v="3"/>
    <n v="5"/>
    <n v="4"/>
    <s v="Convenience"/>
    <m/>
    <m/>
    <m/>
    <m/>
    <m/>
    <m/>
    <m/>
    <m/>
    <m/>
    <m/>
    <m/>
    <m/>
    <m/>
    <m/>
    <m/>
    <m/>
    <m/>
    <m/>
    <m/>
    <m/>
  </r>
  <r>
    <n v="50"/>
    <x v="2"/>
    <x v="1"/>
    <x v="1"/>
    <x v="1"/>
    <x v="3"/>
    <s v="Yes"/>
    <x v="0"/>
    <n v="1"/>
    <s v="Blinkit"/>
    <s v=" Zepto"/>
    <s v=" Swiggy Instamart"/>
    <m/>
    <m/>
    <m/>
    <x v="0"/>
    <s v="3-6 months"/>
    <s v="Below ₹200"/>
    <s v="Evening"/>
    <s v="Cash on Delivery"/>
    <s v="Groceries"/>
    <s v=" Snacks and Beverages"/>
    <s v=" Daily Essentials"/>
    <m/>
    <m/>
    <s v="Strongly Agree"/>
    <s v="Agree"/>
    <s v="Neutral"/>
    <s v="Agree"/>
    <s v="Neutral"/>
    <s v="Agree"/>
    <s v="Strongly Agree"/>
    <s v="Strongly Agree"/>
    <s v="Agree"/>
    <s v="Neutral"/>
    <n v="3"/>
    <n v="4"/>
    <n v="5"/>
    <s v="Convenience"/>
    <m/>
    <m/>
    <m/>
    <m/>
    <m/>
    <m/>
    <m/>
    <m/>
    <m/>
    <m/>
    <m/>
    <m/>
    <m/>
    <m/>
    <m/>
    <m/>
    <m/>
    <m/>
    <m/>
    <m/>
  </r>
  <r>
    <n v="35"/>
    <x v="4"/>
    <x v="1"/>
    <x v="0"/>
    <x v="1"/>
    <x v="3"/>
    <s v="Yes"/>
    <x v="0"/>
    <n v="1"/>
    <s v="Blinkit"/>
    <s v=" Zepto"/>
    <s v=" Swiggy Instamart"/>
    <m/>
    <m/>
    <m/>
    <x v="0"/>
    <s v="6-12 months"/>
    <s v="Above ₹600"/>
    <s v="Evening"/>
    <s v="UPI"/>
    <m/>
    <s v="Snacks and Beverages"/>
    <s v=" Daily Essentials"/>
    <s v=" Personal Care"/>
    <m/>
    <s v="Strongly Agree"/>
    <s v="Agree"/>
    <s v="Neutral"/>
    <s v="Strongly Agree"/>
    <s v="Neutral"/>
    <s v="Agree"/>
    <s v="Neutral"/>
    <s v="Strongly Agree"/>
    <s v="Agree"/>
    <s v="Strongly Agree"/>
    <n v="5"/>
    <n v="4"/>
    <n v="5"/>
    <s v="Convenience"/>
    <m/>
    <m/>
    <m/>
    <m/>
    <m/>
    <m/>
    <m/>
    <m/>
    <m/>
    <m/>
    <m/>
    <m/>
    <m/>
    <m/>
    <m/>
    <m/>
    <m/>
    <m/>
    <m/>
    <m/>
  </r>
  <r>
    <n v="68"/>
    <x v="2"/>
    <x v="1"/>
    <x v="1"/>
    <x v="4"/>
    <x v="1"/>
    <s v="Yes"/>
    <x v="0"/>
    <n v="1"/>
    <s v="Blinkit"/>
    <s v=" Zepto"/>
    <m/>
    <m/>
    <m/>
    <m/>
    <x v="0"/>
    <s v="3-6 months"/>
    <s v="₹200 - ₹400"/>
    <s v="Afternoon"/>
    <s v="Cash on Delivery"/>
    <m/>
    <m/>
    <s v="Daily Essentials"/>
    <s v=" Personal Care"/>
    <m/>
    <s v="Strongly Agree"/>
    <s v="Strongly Agree"/>
    <s v="Disagree"/>
    <s v="Neutral"/>
    <s v="Agree"/>
    <s v="Agree"/>
    <s v="Agree"/>
    <s v="Disagree"/>
    <s v="Agree"/>
    <s v="Neutral"/>
    <n v="5"/>
    <n v="2"/>
    <n v="3"/>
    <s v="Emergency Needs"/>
    <m/>
    <m/>
    <m/>
    <m/>
    <m/>
    <m/>
    <m/>
    <m/>
    <m/>
    <m/>
    <m/>
    <m/>
    <m/>
    <m/>
    <m/>
    <m/>
    <m/>
    <m/>
    <m/>
    <m/>
  </r>
  <r>
    <n v="35"/>
    <x v="4"/>
    <x v="1"/>
    <x v="1"/>
    <x v="1"/>
    <x v="2"/>
    <s v="Yes"/>
    <x v="0"/>
    <n v="1"/>
    <s v="Blinkit"/>
    <s v=" Zepto"/>
    <s v=" Swiggy Instamart"/>
    <m/>
    <m/>
    <m/>
    <x v="0"/>
    <s v="More than a year"/>
    <s v="₹400 - ₹600"/>
    <s v="Morning"/>
    <s v="UPI"/>
    <m/>
    <s v="Snacks and Beverages"/>
    <m/>
    <m/>
    <m/>
    <s v="Agree"/>
    <s v="Agree"/>
    <s v="Neutral"/>
    <s v="Agree"/>
    <s v="Disagree"/>
    <s v="Agree"/>
    <s v="Neutral"/>
    <s v="Strongly Agree"/>
    <s v="Strongly Agree"/>
    <s v="Neutral"/>
    <n v="3"/>
    <n v="3"/>
    <n v="5"/>
    <s v="Convenience"/>
    <m/>
    <m/>
    <m/>
    <m/>
    <m/>
    <m/>
    <m/>
    <m/>
    <m/>
    <m/>
    <m/>
    <m/>
    <m/>
    <m/>
    <m/>
    <m/>
    <m/>
    <m/>
    <m/>
    <m/>
  </r>
  <r>
    <n v="50"/>
    <x v="2"/>
    <x v="1"/>
    <x v="0"/>
    <x v="1"/>
    <x v="0"/>
    <s v="Yes"/>
    <x v="0"/>
    <n v="1"/>
    <s v="Blinkit"/>
    <s v=" Zepto"/>
    <m/>
    <m/>
    <m/>
    <m/>
    <x v="3"/>
    <s v="More than a year"/>
    <s v="₹200 - ₹400"/>
    <s v="Night"/>
    <s v="Debit/Credit Card"/>
    <s v="Groceries"/>
    <s v=" Snacks and Beverages"/>
    <s v=" Daily Essentials"/>
    <m/>
    <m/>
    <s v="Neutral"/>
    <s v="Agree"/>
    <s v="Neutral"/>
    <s v="Neutral"/>
    <s v="Agree"/>
    <s v="Agree"/>
    <s v="Agree"/>
    <s v="Agree"/>
    <s v="Neutral"/>
    <s v="Strongly Agree"/>
    <n v="5"/>
    <n v="3"/>
    <n v="4"/>
    <s v="Affordable Pricing"/>
    <m/>
    <m/>
    <m/>
    <m/>
    <m/>
    <m/>
    <m/>
    <m/>
    <m/>
    <m/>
    <m/>
    <m/>
    <m/>
    <m/>
    <m/>
    <m/>
    <m/>
    <m/>
    <m/>
    <m/>
  </r>
  <r>
    <n v="30"/>
    <x v="1"/>
    <x v="1"/>
    <x v="1"/>
    <x v="2"/>
    <x v="2"/>
    <s v="Yes"/>
    <x v="0"/>
    <n v="1"/>
    <s v="Blinkit"/>
    <s v=" Zepto"/>
    <s v=" Swiggy Instamart"/>
    <m/>
    <m/>
    <m/>
    <x v="2"/>
    <s v="6-12 months"/>
    <s v="Below ₹200"/>
    <s v="Evening"/>
    <s v="UPI"/>
    <s v="Groceries"/>
    <s v=" Snacks and Beverages"/>
    <s v=" Daily Essentials"/>
    <m/>
    <m/>
    <s v="Neutral"/>
    <s v="Agree"/>
    <s v="Neutral"/>
    <s v="Neutral"/>
    <s v="Agree"/>
    <s v="Agree"/>
    <s v="Agree"/>
    <s v="Agree"/>
    <s v="Neutral"/>
    <s v="Strongly Agree"/>
    <n v="5"/>
    <n v="4"/>
    <n v="4"/>
    <s v="Affordable Pricing"/>
    <m/>
    <m/>
    <m/>
    <s v="I prefer buying from local stores"/>
    <m/>
    <m/>
    <m/>
    <m/>
    <m/>
    <m/>
    <m/>
    <m/>
    <m/>
    <m/>
    <m/>
    <m/>
    <m/>
    <m/>
    <m/>
    <m/>
  </r>
  <r>
    <n v="45"/>
    <x v="3"/>
    <x v="0"/>
    <x v="0"/>
    <x v="1"/>
    <x v="3"/>
    <s v="Yes"/>
    <x v="1"/>
    <n v="0"/>
    <m/>
    <m/>
    <m/>
    <m/>
    <m/>
    <m/>
    <x v="1"/>
    <m/>
    <m/>
    <m/>
    <m/>
    <m/>
    <m/>
    <m/>
    <m/>
    <m/>
    <m/>
    <m/>
    <m/>
    <m/>
    <m/>
    <m/>
    <m/>
    <m/>
    <m/>
    <m/>
    <m/>
    <m/>
    <m/>
    <m/>
    <m/>
    <s v=" Product quality concerns"/>
    <m/>
    <m/>
    <s v="Do no trust online delivery"/>
    <m/>
    <m/>
    <m/>
    <m/>
    <m/>
    <s v="Maybe"/>
    <s v="Maybe"/>
    <s v="Yes"/>
    <s v="Agree"/>
    <s v="Agree"/>
    <s v="Agree"/>
    <s v="Agree"/>
    <s v="Neutral"/>
    <s v="Agree"/>
    <s v="Strongly Agree"/>
  </r>
  <r>
    <n v="52"/>
    <x v="2"/>
    <x v="0"/>
    <x v="1"/>
    <x v="2"/>
    <x v="3"/>
    <s v="Yes"/>
    <x v="1"/>
    <n v="0"/>
    <m/>
    <m/>
    <m/>
    <m/>
    <m/>
    <m/>
    <x v="1"/>
    <m/>
    <m/>
    <m/>
    <m/>
    <m/>
    <m/>
    <m/>
    <m/>
    <m/>
    <m/>
    <m/>
    <m/>
    <m/>
    <m/>
    <m/>
    <m/>
    <m/>
    <m/>
    <m/>
    <m/>
    <m/>
    <m/>
    <m/>
    <m/>
    <m/>
    <m/>
    <s v="I prefer buying from local stores"/>
    <m/>
    <m/>
    <s v=" Not aware how to use the apps"/>
    <m/>
    <m/>
    <m/>
    <s v="Maybe"/>
    <s v="No"/>
    <s v="Yes"/>
    <s v="Agree"/>
    <s v="Agree"/>
    <s v="Strongly Agree"/>
    <s v="Agree"/>
    <s v="Neutral"/>
    <s v="Agree"/>
    <s v="Strongly Agree"/>
  </r>
  <r>
    <n v="63"/>
    <x v="2"/>
    <x v="0"/>
    <x v="3"/>
    <x v="4"/>
    <x v="1"/>
    <s v="No"/>
    <x v="1"/>
    <n v="0"/>
    <m/>
    <m/>
    <m/>
    <m/>
    <m/>
    <m/>
    <x v="1"/>
    <m/>
    <m/>
    <m/>
    <m/>
    <m/>
    <m/>
    <m/>
    <m/>
    <m/>
    <m/>
    <m/>
    <m/>
    <m/>
    <m/>
    <m/>
    <m/>
    <m/>
    <m/>
    <m/>
    <m/>
    <m/>
    <m/>
    <m/>
    <m/>
    <m/>
    <m/>
    <m/>
    <m/>
    <m/>
    <m/>
    <m/>
    <m/>
    <s v="Not Available"/>
    <s v="No"/>
    <s v="Maybe"/>
    <s v="No"/>
    <s v="Neutral"/>
    <s v="Neutral"/>
    <s v="Neutral"/>
    <s v="Neutral"/>
    <s v="Neutral"/>
    <s v="Neutral"/>
    <s v="Neutral"/>
  </r>
  <r>
    <n v="33"/>
    <x v="1"/>
    <x v="0"/>
    <x v="1"/>
    <x v="1"/>
    <x v="1"/>
    <s v="Yes"/>
    <x v="1"/>
    <n v="0"/>
    <m/>
    <m/>
    <m/>
    <m/>
    <m/>
    <m/>
    <x v="1"/>
    <m/>
    <m/>
    <m/>
    <m/>
    <m/>
    <m/>
    <m/>
    <m/>
    <m/>
    <m/>
    <m/>
    <m/>
    <m/>
    <m/>
    <m/>
    <m/>
    <m/>
    <m/>
    <m/>
    <m/>
    <m/>
    <m/>
    <m/>
    <m/>
    <s v=" Product quality concerns"/>
    <m/>
    <m/>
    <s v=" Do no trust online delivery"/>
    <s v="Not comfortable using apps"/>
    <m/>
    <m/>
    <s v=" Payment safety concerns"/>
    <m/>
    <s v="Yes"/>
    <s v="Yes"/>
    <s v="Yes"/>
    <s v="Strongly Agree"/>
    <s v="Strongly Agree"/>
    <s v="Neutral"/>
    <s v="Strongly Agree"/>
    <s v="Strongly Agree"/>
    <s v="Strongly Agree"/>
    <s v="Strongly Agree"/>
  </r>
  <r>
    <n v="47"/>
    <x v="3"/>
    <x v="0"/>
    <x v="0"/>
    <x v="2"/>
    <x v="3"/>
    <s v="Yes"/>
    <x v="1"/>
    <n v="0"/>
    <m/>
    <m/>
    <m/>
    <m/>
    <m/>
    <m/>
    <x v="1"/>
    <m/>
    <m/>
    <m/>
    <m/>
    <m/>
    <m/>
    <m/>
    <m/>
    <m/>
    <m/>
    <m/>
    <m/>
    <m/>
    <m/>
    <m/>
    <m/>
    <m/>
    <m/>
    <m/>
    <m/>
    <m/>
    <m/>
    <m/>
    <s v="Delivery charges are high"/>
    <m/>
    <m/>
    <m/>
    <m/>
    <m/>
    <m/>
    <m/>
    <m/>
    <m/>
    <s v="No"/>
    <s v="No"/>
    <s v="Yes"/>
    <s v="Strongly Disagree"/>
    <s v="Strongly Disagree"/>
    <s v="Disagree"/>
    <s v="Disagree"/>
    <s v="Strongly Disagree"/>
    <s v="Strongly Disagree"/>
    <s v="Strongly Agree"/>
  </r>
  <r>
    <n v="28"/>
    <x v="1"/>
    <x v="0"/>
    <x v="0"/>
    <x v="1"/>
    <x v="2"/>
    <s v="Yes"/>
    <x v="1"/>
    <n v="0"/>
    <m/>
    <m/>
    <m/>
    <m/>
    <m/>
    <m/>
    <x v="1"/>
    <m/>
    <m/>
    <m/>
    <m/>
    <m/>
    <m/>
    <m/>
    <m/>
    <m/>
    <m/>
    <m/>
    <m/>
    <m/>
    <m/>
    <m/>
    <m/>
    <m/>
    <m/>
    <m/>
    <m/>
    <m/>
    <m/>
    <m/>
    <m/>
    <m/>
    <m/>
    <s v="I prefer buying from local stores"/>
    <m/>
    <m/>
    <m/>
    <m/>
    <m/>
    <m/>
    <s v="Maybe"/>
    <s v="Yes"/>
    <s v="No"/>
    <s v="Strongly Agree"/>
    <s v="Agree"/>
    <s v="Agree"/>
    <s v="Strongly Agree"/>
    <s v="Neutral"/>
    <s v="Strongly Agree"/>
    <s v="Strongly Agree"/>
  </r>
  <r>
    <n v="38"/>
    <x v="4"/>
    <x v="0"/>
    <x v="0"/>
    <x v="1"/>
    <x v="3"/>
    <s v="Yes"/>
    <x v="1"/>
    <n v="0"/>
    <m/>
    <m/>
    <m/>
    <m/>
    <m/>
    <m/>
    <x v="1"/>
    <m/>
    <m/>
    <m/>
    <m/>
    <m/>
    <m/>
    <m/>
    <m/>
    <m/>
    <m/>
    <m/>
    <m/>
    <m/>
    <m/>
    <m/>
    <m/>
    <m/>
    <m/>
    <m/>
    <m/>
    <m/>
    <m/>
    <m/>
    <m/>
    <m/>
    <m/>
    <s v="I prefer buying from local stores"/>
    <m/>
    <m/>
    <m/>
    <m/>
    <m/>
    <m/>
    <s v="Maybe"/>
    <s v="No"/>
    <s v="Yes"/>
    <s v="Neutral"/>
    <s v="Neutral"/>
    <s v="Agree"/>
    <s v="Neutral"/>
    <s v="Neutral"/>
    <s v="Neutral"/>
    <s v="Agree"/>
  </r>
  <r>
    <n v="46"/>
    <x v="3"/>
    <x v="0"/>
    <x v="2"/>
    <x v="2"/>
    <x v="0"/>
    <s v="Yes"/>
    <x v="1"/>
    <n v="0"/>
    <m/>
    <m/>
    <m/>
    <m/>
    <m/>
    <m/>
    <x v="1"/>
    <m/>
    <m/>
    <m/>
    <m/>
    <m/>
    <m/>
    <m/>
    <m/>
    <m/>
    <m/>
    <m/>
    <m/>
    <m/>
    <m/>
    <m/>
    <m/>
    <m/>
    <m/>
    <m/>
    <m/>
    <m/>
    <m/>
    <m/>
    <m/>
    <m/>
    <m/>
    <m/>
    <m/>
    <m/>
    <s v="Not aware how to use the apps"/>
    <m/>
    <m/>
    <m/>
    <s v="Maybe"/>
    <s v="Maybe"/>
    <s v="Yes"/>
    <s v="Agree"/>
    <s v="Agree"/>
    <s v="Agree"/>
    <s v="Agree"/>
    <s v="Neutral"/>
    <s v="Agree"/>
    <s v="Strongly Agree"/>
  </r>
  <r>
    <n v="62"/>
    <x v="2"/>
    <x v="0"/>
    <x v="0"/>
    <x v="4"/>
    <x v="3"/>
    <s v="No"/>
    <x v="1"/>
    <n v="0"/>
    <m/>
    <m/>
    <m/>
    <m/>
    <m/>
    <m/>
    <x v="1"/>
    <m/>
    <m/>
    <m/>
    <m/>
    <m/>
    <m/>
    <m/>
    <m/>
    <m/>
    <m/>
    <m/>
    <m/>
    <m/>
    <m/>
    <m/>
    <m/>
    <m/>
    <m/>
    <m/>
    <m/>
    <m/>
    <m/>
    <m/>
    <m/>
    <m/>
    <m/>
    <s v="I prefer buying from local stores"/>
    <m/>
    <m/>
    <m/>
    <m/>
    <m/>
    <m/>
    <s v="No"/>
    <s v="No"/>
    <s v="No"/>
    <s v="Neutral"/>
    <s v="Neutral"/>
    <s v="Neutral"/>
    <s v="Neutral"/>
    <s v="Neutral"/>
    <s v="Neutral"/>
    <s v="Neutral"/>
  </r>
  <r>
    <n v="42"/>
    <x v="3"/>
    <x v="0"/>
    <x v="0"/>
    <x v="1"/>
    <x v="1"/>
    <s v="Yes"/>
    <x v="1"/>
    <n v="0"/>
    <m/>
    <m/>
    <m/>
    <m/>
    <m/>
    <m/>
    <x v="1"/>
    <m/>
    <m/>
    <m/>
    <m/>
    <m/>
    <m/>
    <m/>
    <m/>
    <m/>
    <m/>
    <m/>
    <m/>
    <m/>
    <m/>
    <m/>
    <m/>
    <m/>
    <m/>
    <m/>
    <m/>
    <m/>
    <m/>
    <m/>
    <m/>
    <m/>
    <m/>
    <s v="I prefer buying from local stores"/>
    <m/>
    <m/>
    <m/>
    <m/>
    <m/>
    <m/>
    <s v="Maybe"/>
    <s v="Maybe"/>
    <s v="Yes"/>
    <s v="Agree"/>
    <s v="Agree"/>
    <s v="Agree"/>
    <s v="Agree"/>
    <s v="Neutral"/>
    <s v="Agree"/>
    <s v="Strongly Agree"/>
  </r>
  <r>
    <n v="52"/>
    <x v="2"/>
    <x v="0"/>
    <x v="0"/>
    <x v="1"/>
    <x v="3"/>
    <s v="Yes"/>
    <x v="1"/>
    <n v="0"/>
    <m/>
    <m/>
    <m/>
    <m/>
    <m/>
    <m/>
    <x v="1"/>
    <m/>
    <m/>
    <m/>
    <m/>
    <m/>
    <m/>
    <m/>
    <m/>
    <m/>
    <m/>
    <m/>
    <m/>
    <m/>
    <m/>
    <m/>
    <m/>
    <m/>
    <m/>
    <m/>
    <m/>
    <m/>
    <m/>
    <m/>
    <m/>
    <m/>
    <m/>
    <m/>
    <m/>
    <m/>
    <m/>
    <m/>
    <m/>
    <s v="Not Available"/>
    <s v="Maybe"/>
    <s v="Maybe"/>
    <s v="Yes"/>
    <s v="Agree"/>
    <s v="Agree"/>
    <s v="Agree"/>
    <s v="Agree"/>
    <s v="Neutral"/>
    <s v="Agree"/>
    <s v="Strongly Agree"/>
  </r>
  <r>
    <n v="28"/>
    <x v="1"/>
    <x v="0"/>
    <x v="0"/>
    <x v="0"/>
    <x v="2"/>
    <s v="Yes"/>
    <x v="1"/>
    <n v="0"/>
    <m/>
    <m/>
    <m/>
    <m/>
    <m/>
    <m/>
    <x v="1"/>
    <m/>
    <m/>
    <m/>
    <m/>
    <m/>
    <m/>
    <m/>
    <m/>
    <m/>
    <m/>
    <m/>
    <m/>
    <m/>
    <m/>
    <m/>
    <m/>
    <m/>
    <m/>
    <m/>
    <m/>
    <m/>
    <m/>
    <m/>
    <m/>
    <m/>
    <m/>
    <m/>
    <m/>
    <s v="Not comfortable using apps"/>
    <m/>
    <m/>
    <m/>
    <m/>
    <s v="Yes"/>
    <s v="Yes"/>
    <s v="Yes"/>
    <s v="Neutral"/>
    <s v="Neutral"/>
    <s v="Neutral"/>
    <s v="Neutral"/>
    <s v="Strongly Agree"/>
    <s v="Neutral"/>
    <s v="Neutral"/>
  </r>
  <r>
    <n v="71"/>
    <x v="2"/>
    <x v="0"/>
    <x v="0"/>
    <x v="4"/>
    <x v="3"/>
    <s v="No"/>
    <x v="1"/>
    <n v="0"/>
    <m/>
    <m/>
    <m/>
    <m/>
    <m/>
    <m/>
    <x v="1"/>
    <m/>
    <m/>
    <m/>
    <m/>
    <m/>
    <m/>
    <m/>
    <m/>
    <m/>
    <m/>
    <m/>
    <m/>
    <m/>
    <m/>
    <m/>
    <m/>
    <m/>
    <m/>
    <m/>
    <m/>
    <m/>
    <m/>
    <m/>
    <m/>
    <m/>
    <m/>
    <m/>
    <m/>
    <m/>
    <m/>
    <m/>
    <s v="Others in Family use it so not requried"/>
    <m/>
    <s v="No"/>
    <s v="No"/>
    <m/>
    <s v="Disagree"/>
    <s v="Disagree"/>
    <s v="Disagree"/>
    <s v="Disagree"/>
    <s v="Disagree"/>
    <s v="Disagree"/>
    <s v="Neutral"/>
  </r>
  <r>
    <n v="34"/>
    <x v="4"/>
    <x v="1"/>
    <x v="0"/>
    <x v="1"/>
    <x v="3"/>
    <s v="Yes"/>
    <x v="1"/>
    <n v="0"/>
    <m/>
    <m/>
    <m/>
    <m/>
    <m/>
    <m/>
    <x v="1"/>
    <m/>
    <m/>
    <m/>
    <m/>
    <m/>
    <m/>
    <m/>
    <m/>
    <m/>
    <m/>
    <m/>
    <m/>
    <m/>
    <m/>
    <m/>
    <m/>
    <m/>
    <m/>
    <m/>
    <m/>
    <m/>
    <m/>
    <m/>
    <m/>
    <m/>
    <m/>
    <s v="I prefer buying from local stores"/>
    <m/>
    <m/>
    <m/>
    <m/>
    <m/>
    <m/>
    <s v="Yes"/>
    <s v="Yes"/>
    <s v="Yes"/>
    <s v="Agree"/>
    <s v="Agree"/>
    <s v="Agree"/>
    <s v="Agree"/>
    <s v="Neutral"/>
    <s v="Agree"/>
    <s v="Strongly Agree"/>
  </r>
  <r>
    <n v="57"/>
    <x v="2"/>
    <x v="1"/>
    <x v="4"/>
    <x v="3"/>
    <x v="3"/>
    <s v="No"/>
    <x v="1"/>
    <n v="0"/>
    <m/>
    <m/>
    <m/>
    <m/>
    <m/>
    <m/>
    <x v="1"/>
    <m/>
    <m/>
    <m/>
    <m/>
    <m/>
    <m/>
    <m/>
    <m/>
    <m/>
    <m/>
    <m/>
    <m/>
    <m/>
    <m/>
    <m/>
    <m/>
    <m/>
    <m/>
    <m/>
    <m/>
    <m/>
    <m/>
    <m/>
    <m/>
    <m/>
    <m/>
    <m/>
    <m/>
    <m/>
    <m/>
    <m/>
    <s v="Others in Family use it so not requried"/>
    <m/>
    <s v="Maybe"/>
    <s v="Maybe"/>
    <s v="No"/>
    <s v="Neutral"/>
    <s v="Neutral"/>
    <s v="Neutral"/>
    <s v="Neutral"/>
    <s v="Neutral"/>
    <s v="Neutral"/>
    <s v="Neutral"/>
  </r>
  <r>
    <n v="42"/>
    <x v="3"/>
    <x v="1"/>
    <x v="0"/>
    <x v="1"/>
    <x v="1"/>
    <s v="Yes"/>
    <x v="1"/>
    <n v="0"/>
    <m/>
    <m/>
    <m/>
    <m/>
    <m/>
    <m/>
    <x v="1"/>
    <m/>
    <m/>
    <m/>
    <m/>
    <m/>
    <m/>
    <m/>
    <m/>
    <m/>
    <m/>
    <m/>
    <m/>
    <m/>
    <m/>
    <m/>
    <m/>
    <m/>
    <m/>
    <m/>
    <m/>
    <m/>
    <m/>
    <m/>
    <m/>
    <m/>
    <m/>
    <s v="I prefer buying from local stores"/>
    <m/>
    <m/>
    <s v=" Not aware how to use the apps"/>
    <m/>
    <m/>
    <m/>
    <s v="Yes"/>
    <s v="Yes"/>
    <s v="Yes"/>
    <s v="Agree"/>
    <s v="Agree"/>
    <s v="Agree"/>
    <s v="Agree"/>
    <s v="Neutral"/>
    <s v="Agree"/>
    <s v="Strongly Agree"/>
  </r>
  <r>
    <n v="61"/>
    <x v="2"/>
    <x v="1"/>
    <x v="3"/>
    <x v="3"/>
    <x v="1"/>
    <s v="No"/>
    <x v="1"/>
    <n v="0"/>
    <m/>
    <m/>
    <m/>
    <m/>
    <m/>
    <m/>
    <x v="1"/>
    <m/>
    <m/>
    <m/>
    <m/>
    <m/>
    <m/>
    <m/>
    <m/>
    <m/>
    <m/>
    <m/>
    <m/>
    <m/>
    <m/>
    <m/>
    <m/>
    <m/>
    <m/>
    <m/>
    <m/>
    <m/>
    <m/>
    <m/>
    <m/>
    <m/>
    <m/>
    <m/>
    <m/>
    <s v="Not comfortable using apps"/>
    <m/>
    <m/>
    <m/>
    <m/>
    <s v="No"/>
    <s v="No"/>
    <s v="No"/>
    <s v="Neutral"/>
    <s v="Neutral"/>
    <s v="Neutral"/>
    <s v="Neutral"/>
    <s v="Neutral"/>
    <s v="Neutral"/>
    <s v="Neutral"/>
  </r>
  <r>
    <n v="29"/>
    <x v="1"/>
    <x v="1"/>
    <x v="0"/>
    <x v="1"/>
    <x v="2"/>
    <s v="Yes"/>
    <x v="1"/>
    <n v="0"/>
    <m/>
    <m/>
    <m/>
    <m/>
    <m/>
    <m/>
    <x v="1"/>
    <m/>
    <m/>
    <m/>
    <m/>
    <m/>
    <m/>
    <m/>
    <m/>
    <m/>
    <m/>
    <m/>
    <m/>
    <m/>
    <m/>
    <m/>
    <m/>
    <m/>
    <m/>
    <m/>
    <m/>
    <m/>
    <m/>
    <m/>
    <m/>
    <m/>
    <m/>
    <m/>
    <m/>
    <m/>
    <m/>
    <m/>
    <s v="Others in Family use it so not requried"/>
    <m/>
    <s v="No"/>
    <s v="No"/>
    <s v="Yes"/>
    <s v="Disagree"/>
    <s v="Disagree"/>
    <s v="Disagree"/>
    <s v="Disagree"/>
    <s v="Neutral"/>
    <s v="Disagree"/>
    <s v="Agree"/>
  </r>
  <r>
    <n v="48"/>
    <x v="3"/>
    <x v="1"/>
    <x v="3"/>
    <x v="3"/>
    <x v="0"/>
    <s v="Yes"/>
    <x v="1"/>
    <n v="0"/>
    <m/>
    <m/>
    <m/>
    <m/>
    <m/>
    <m/>
    <x v="1"/>
    <m/>
    <m/>
    <m/>
    <m/>
    <m/>
    <m/>
    <m/>
    <m/>
    <m/>
    <m/>
    <m/>
    <m/>
    <m/>
    <m/>
    <m/>
    <m/>
    <m/>
    <m/>
    <m/>
    <m/>
    <m/>
    <m/>
    <m/>
    <m/>
    <m/>
    <m/>
    <m/>
    <m/>
    <m/>
    <m/>
    <m/>
    <s v="Others in Family use it so not requried"/>
    <m/>
    <s v="Yes"/>
    <s v="Yes"/>
    <s v="Yes"/>
    <s v="Neutral"/>
    <s v="Neutral"/>
    <s v="Neutral"/>
    <s v="Neutral"/>
    <s v="Neutral"/>
    <s v="Neutral"/>
    <s v="Neutral"/>
  </r>
  <r>
    <n v="53"/>
    <x v="2"/>
    <x v="1"/>
    <x v="4"/>
    <x v="3"/>
    <x v="3"/>
    <s v="Yes"/>
    <x v="1"/>
    <n v="0"/>
    <m/>
    <m/>
    <m/>
    <m/>
    <m/>
    <m/>
    <x v="1"/>
    <m/>
    <m/>
    <m/>
    <m/>
    <m/>
    <m/>
    <m/>
    <m/>
    <m/>
    <m/>
    <m/>
    <m/>
    <m/>
    <m/>
    <m/>
    <m/>
    <m/>
    <m/>
    <m/>
    <m/>
    <m/>
    <m/>
    <m/>
    <m/>
    <m/>
    <m/>
    <m/>
    <m/>
    <m/>
    <m/>
    <m/>
    <m/>
    <m/>
    <s v="Yes"/>
    <s v="No"/>
    <s v="Yes"/>
    <s v="Neutral"/>
    <s v="Neutral"/>
    <s v="Neutral"/>
    <s v="Neutral"/>
    <s v="Neutral"/>
    <s v="Neutral"/>
    <s v="Neutral"/>
  </r>
  <r>
    <n v="37"/>
    <x v="4"/>
    <x v="1"/>
    <x v="0"/>
    <x v="1"/>
    <x v="1"/>
    <s v="Yes"/>
    <x v="1"/>
    <n v="0"/>
    <m/>
    <m/>
    <m/>
    <m/>
    <m/>
    <m/>
    <x v="1"/>
    <m/>
    <m/>
    <m/>
    <m/>
    <m/>
    <m/>
    <m/>
    <m/>
    <m/>
    <m/>
    <m/>
    <m/>
    <m/>
    <m/>
    <m/>
    <m/>
    <m/>
    <m/>
    <m/>
    <m/>
    <m/>
    <m/>
    <m/>
    <m/>
    <m/>
    <m/>
    <m/>
    <m/>
    <m/>
    <m/>
    <m/>
    <s v="Others in Family use it so not requried"/>
    <m/>
    <s v="Yes"/>
    <s v="Yes"/>
    <s v="Yes"/>
    <s v="Neutral"/>
    <s v="Neutral"/>
    <s v="Neutral"/>
    <s v="Neutral"/>
    <s v="Strongly Agree"/>
    <s v="Neutral"/>
    <s v="Neutral"/>
  </r>
  <r>
    <n v="65"/>
    <x v="2"/>
    <x v="1"/>
    <x v="3"/>
    <x v="3"/>
    <x v="0"/>
    <s v="Yes"/>
    <x v="1"/>
    <n v="0"/>
    <m/>
    <m/>
    <m/>
    <m/>
    <m/>
    <m/>
    <x v="1"/>
    <m/>
    <m/>
    <m/>
    <m/>
    <m/>
    <m/>
    <m/>
    <m/>
    <m/>
    <m/>
    <m/>
    <m/>
    <m/>
    <m/>
    <m/>
    <m/>
    <m/>
    <m/>
    <m/>
    <m/>
    <m/>
    <m/>
    <m/>
    <m/>
    <m/>
    <m/>
    <m/>
    <m/>
    <m/>
    <m/>
    <m/>
    <m/>
    <m/>
    <s v="Yes"/>
    <s v="Maybe"/>
    <s v="Yes"/>
    <s v="Neutral"/>
    <s v="Neutral"/>
    <s v="Neutral"/>
    <s v="Neutral"/>
    <s v="Neutral"/>
    <s v="Neutral"/>
    <s v="Neutral"/>
  </r>
  <r>
    <n v="44"/>
    <x v="3"/>
    <x v="1"/>
    <x v="0"/>
    <x v="1"/>
    <x v="1"/>
    <s v="Yes"/>
    <x v="1"/>
    <n v="0"/>
    <m/>
    <m/>
    <m/>
    <m/>
    <m/>
    <m/>
    <x v="1"/>
    <m/>
    <m/>
    <m/>
    <m/>
    <m/>
    <m/>
    <m/>
    <m/>
    <m/>
    <m/>
    <m/>
    <m/>
    <m/>
    <m/>
    <m/>
    <m/>
    <m/>
    <m/>
    <m/>
    <m/>
    <m/>
    <m/>
    <m/>
    <m/>
    <m/>
    <m/>
    <s v="I prefer buying from local stores"/>
    <m/>
    <m/>
    <m/>
    <m/>
    <m/>
    <m/>
    <s v="Yes"/>
    <s v="Yes"/>
    <s v="Yes"/>
    <s v="Agree"/>
    <s v="Agree"/>
    <s v="Agree"/>
    <s v="Agree"/>
    <s v="Strongly Agree"/>
    <s v="Agree"/>
    <s v="Strongly Agree"/>
  </r>
  <r>
    <n v="44"/>
    <x v="3"/>
    <x v="1"/>
    <x v="0"/>
    <x v="2"/>
    <x v="3"/>
    <s v="Yes"/>
    <x v="1"/>
    <n v="0"/>
    <m/>
    <m/>
    <m/>
    <m/>
    <m/>
    <m/>
    <x v="1"/>
    <m/>
    <m/>
    <m/>
    <m/>
    <m/>
    <m/>
    <m/>
    <m/>
    <m/>
    <m/>
    <m/>
    <m/>
    <m/>
    <m/>
    <m/>
    <m/>
    <m/>
    <m/>
    <m/>
    <m/>
    <m/>
    <m/>
    <m/>
    <m/>
    <m/>
    <m/>
    <m/>
    <m/>
    <m/>
    <s v="Not aware how to use the apps"/>
    <m/>
    <m/>
    <m/>
    <s v="Yes"/>
    <s v="Yes"/>
    <s v="Yes"/>
    <s v="Agree"/>
    <s v="Agree"/>
    <s v="Agree"/>
    <s v="Agree"/>
    <s v="Neutral"/>
    <s v="Agree"/>
    <s v="Strongly Agree"/>
  </r>
  <r>
    <n v="51"/>
    <x v="2"/>
    <x v="1"/>
    <x v="3"/>
    <x v="3"/>
    <x v="1"/>
    <s v="Yes"/>
    <x v="1"/>
    <n v="0"/>
    <m/>
    <m/>
    <m/>
    <m/>
    <m/>
    <m/>
    <x v="1"/>
    <m/>
    <m/>
    <m/>
    <m/>
    <m/>
    <m/>
    <m/>
    <m/>
    <m/>
    <m/>
    <m/>
    <m/>
    <m/>
    <m/>
    <m/>
    <m/>
    <m/>
    <m/>
    <m/>
    <m/>
    <m/>
    <m/>
    <m/>
    <m/>
    <m/>
    <m/>
    <m/>
    <m/>
    <m/>
    <m/>
    <m/>
    <s v="Others in family use it so not required"/>
    <m/>
    <s v="Maybe"/>
    <s v="No"/>
    <s v="Yes"/>
    <s v="Neutral"/>
    <s v="Neutral"/>
    <s v="Neutral"/>
    <s v="Neutral"/>
    <s v="Neutral"/>
    <s v="Neutral"/>
    <s v="Neutral"/>
  </r>
  <r>
    <n v="39"/>
    <x v="4"/>
    <x v="1"/>
    <x v="0"/>
    <x v="1"/>
    <x v="1"/>
    <s v="Yes"/>
    <x v="1"/>
    <n v="0"/>
    <m/>
    <m/>
    <m/>
    <m/>
    <m/>
    <m/>
    <x v="1"/>
    <m/>
    <m/>
    <m/>
    <m/>
    <m/>
    <m/>
    <m/>
    <m/>
    <m/>
    <m/>
    <m/>
    <m/>
    <m/>
    <m/>
    <m/>
    <m/>
    <m/>
    <m/>
    <m/>
    <m/>
    <m/>
    <m/>
    <m/>
    <m/>
    <m/>
    <m/>
    <m/>
    <m/>
    <m/>
    <s v="Not aware how to use the apps"/>
    <m/>
    <m/>
    <m/>
    <s v="Yes"/>
    <s v="No"/>
    <s v="Yes"/>
    <s v="Neutral"/>
    <s v="Neutral"/>
    <s v="Neutral"/>
    <s v="Neutral"/>
    <s v="Neutral"/>
    <s v="Neutral"/>
    <s v="Neutral"/>
  </r>
  <r>
    <n v="58"/>
    <x v="2"/>
    <x v="1"/>
    <x v="4"/>
    <x v="3"/>
    <x v="3"/>
    <s v="No"/>
    <x v="1"/>
    <n v="0"/>
    <m/>
    <m/>
    <m/>
    <m/>
    <m/>
    <m/>
    <x v="1"/>
    <m/>
    <m/>
    <m/>
    <m/>
    <m/>
    <m/>
    <m/>
    <m/>
    <m/>
    <m/>
    <m/>
    <m/>
    <m/>
    <m/>
    <m/>
    <m/>
    <m/>
    <m/>
    <m/>
    <m/>
    <m/>
    <m/>
    <m/>
    <m/>
    <m/>
    <s v=" No need for fast delivery"/>
    <s v="I prefer buying from local stores"/>
    <m/>
    <m/>
    <m/>
    <m/>
    <m/>
    <m/>
    <s v="No"/>
    <s v="No"/>
    <s v="No"/>
    <s v="Neutral"/>
    <s v="Neutral"/>
    <s v="Neutral"/>
    <s v="Neutral"/>
    <s v="Neutral"/>
    <s v="Neutral"/>
    <s v="Neutral"/>
  </r>
  <r>
    <n v="46"/>
    <x v="3"/>
    <x v="1"/>
    <x v="0"/>
    <x v="1"/>
    <x v="1"/>
    <s v="Yes"/>
    <x v="1"/>
    <n v="0"/>
    <m/>
    <m/>
    <m/>
    <m/>
    <m/>
    <m/>
    <x v="1"/>
    <m/>
    <m/>
    <m/>
    <m/>
    <m/>
    <m/>
    <m/>
    <m/>
    <m/>
    <m/>
    <m/>
    <m/>
    <m/>
    <m/>
    <m/>
    <m/>
    <m/>
    <m/>
    <m/>
    <m/>
    <m/>
    <m/>
    <m/>
    <m/>
    <m/>
    <m/>
    <m/>
    <m/>
    <m/>
    <m/>
    <m/>
    <s v="Others in family use it so not required"/>
    <m/>
    <s v="Maybe"/>
    <s v="Maybe"/>
    <s v="Yes"/>
    <s v="Agree"/>
    <s v="Agree"/>
    <s v="Agree"/>
    <s v="Agree"/>
    <s v="Neutral"/>
    <s v="Agree"/>
    <s v="Strongly Agree"/>
  </r>
  <r>
    <n v="31"/>
    <x v="1"/>
    <x v="1"/>
    <x v="1"/>
    <x v="1"/>
    <x v="0"/>
    <s v="Yes"/>
    <x v="1"/>
    <n v="0"/>
    <m/>
    <m/>
    <m/>
    <m/>
    <m/>
    <m/>
    <x v="1"/>
    <m/>
    <m/>
    <m/>
    <m/>
    <m/>
    <m/>
    <m/>
    <m/>
    <m/>
    <m/>
    <m/>
    <m/>
    <m/>
    <m/>
    <m/>
    <m/>
    <m/>
    <m/>
    <m/>
    <m/>
    <m/>
    <m/>
    <m/>
    <m/>
    <m/>
    <m/>
    <m/>
    <m/>
    <m/>
    <s v="Not aware how to use the apps"/>
    <m/>
    <m/>
    <m/>
    <s v="Yes"/>
    <s v="Yes"/>
    <s v="Yes"/>
    <s v="Agree"/>
    <s v="Agree"/>
    <s v="Agree"/>
    <s v="Agree"/>
    <s v="Neutral"/>
    <s v="Agree"/>
    <s v="Strongly Agree"/>
  </r>
  <r>
    <n v="62"/>
    <x v="2"/>
    <x v="1"/>
    <x v="3"/>
    <x v="3"/>
    <x v="3"/>
    <s v="No"/>
    <x v="1"/>
    <n v="0"/>
    <m/>
    <m/>
    <m/>
    <m/>
    <m/>
    <m/>
    <x v="1"/>
    <m/>
    <m/>
    <m/>
    <m/>
    <m/>
    <m/>
    <m/>
    <m/>
    <m/>
    <m/>
    <m/>
    <m/>
    <m/>
    <m/>
    <m/>
    <m/>
    <m/>
    <m/>
    <m/>
    <m/>
    <m/>
    <m/>
    <m/>
    <m/>
    <m/>
    <m/>
    <s v="I prefer buying from local stores"/>
    <m/>
    <m/>
    <m/>
    <m/>
    <m/>
    <m/>
    <s v="No"/>
    <s v="No"/>
    <s v="No"/>
    <s v="Neutral"/>
    <s v="Neutral"/>
    <s v="Neutral"/>
    <s v="Neutral"/>
    <s v="Neutral"/>
    <s v="Neutral"/>
    <s v="Neutral"/>
  </r>
  <r>
    <n v="55"/>
    <x v="2"/>
    <x v="1"/>
    <x v="0"/>
    <x v="1"/>
    <x v="1"/>
    <s v="Yes"/>
    <x v="1"/>
    <n v="0"/>
    <m/>
    <m/>
    <m/>
    <m/>
    <m/>
    <m/>
    <x v="1"/>
    <m/>
    <m/>
    <m/>
    <m/>
    <m/>
    <m/>
    <m/>
    <m/>
    <m/>
    <m/>
    <m/>
    <m/>
    <m/>
    <m/>
    <m/>
    <m/>
    <m/>
    <m/>
    <m/>
    <m/>
    <m/>
    <m/>
    <m/>
    <m/>
    <m/>
    <m/>
    <m/>
    <m/>
    <m/>
    <m/>
    <m/>
    <s v="Others in family use it so not required"/>
    <m/>
    <s v="Maybe"/>
    <s v="Yes"/>
    <s v="Yes"/>
    <s v="Agree"/>
    <s v="Agree"/>
    <s v="Agree"/>
    <s v="Agree"/>
    <s v="Neutral"/>
    <s v="Strongly Agree"/>
    <s v="Strongly Agree"/>
  </r>
  <r>
    <n v="41"/>
    <x v="4"/>
    <x v="1"/>
    <x v="2"/>
    <x v="1"/>
    <x v="1"/>
    <s v="Yes"/>
    <x v="1"/>
    <n v="0"/>
    <m/>
    <m/>
    <m/>
    <m/>
    <m/>
    <m/>
    <x v="1"/>
    <m/>
    <m/>
    <m/>
    <m/>
    <m/>
    <m/>
    <m/>
    <m/>
    <m/>
    <m/>
    <m/>
    <m/>
    <m/>
    <m/>
    <m/>
    <m/>
    <m/>
    <m/>
    <m/>
    <m/>
    <m/>
    <m/>
    <m/>
    <m/>
    <m/>
    <m/>
    <m/>
    <m/>
    <m/>
    <s v="Not aware how to use the apps"/>
    <m/>
    <m/>
    <m/>
    <s v="Yes"/>
    <s v="Yes"/>
    <s v="Yes"/>
    <s v="Strongly Agree"/>
    <s v="Strongly Agree"/>
    <s v="Strongly Agree"/>
    <s v="Strongly Agree"/>
    <s v="Neutral"/>
    <s v="Strongly Agree"/>
    <s v="Strongly Agree"/>
  </r>
  <r>
    <n v="68"/>
    <x v="2"/>
    <x v="1"/>
    <x v="3"/>
    <x v="3"/>
    <x v="3"/>
    <s v="No"/>
    <x v="1"/>
    <n v="0"/>
    <m/>
    <m/>
    <m/>
    <m/>
    <m/>
    <m/>
    <x v="1"/>
    <m/>
    <m/>
    <m/>
    <m/>
    <m/>
    <m/>
    <m/>
    <m/>
    <m/>
    <m/>
    <m/>
    <m/>
    <m/>
    <m/>
    <m/>
    <m/>
    <m/>
    <m/>
    <m/>
    <m/>
    <m/>
    <m/>
    <m/>
    <m/>
    <m/>
    <m/>
    <m/>
    <m/>
    <m/>
    <m/>
    <m/>
    <m/>
    <m/>
    <s v="No"/>
    <s v="No"/>
    <s v="No"/>
    <s v="Neutral"/>
    <s v="Neutral"/>
    <s v="Neutral"/>
    <s v="Neutral"/>
    <s v="Neutral"/>
    <s v="Neutral"/>
    <s v="Neutral"/>
  </r>
  <r>
    <n v="27"/>
    <x v="1"/>
    <x v="1"/>
    <x v="0"/>
    <x v="0"/>
    <x v="1"/>
    <s v="Yes"/>
    <x v="1"/>
    <n v="0"/>
    <m/>
    <m/>
    <m/>
    <m/>
    <m/>
    <m/>
    <x v="1"/>
    <m/>
    <m/>
    <m/>
    <m/>
    <m/>
    <m/>
    <m/>
    <m/>
    <m/>
    <m/>
    <m/>
    <m/>
    <m/>
    <m/>
    <m/>
    <m/>
    <m/>
    <m/>
    <m/>
    <m/>
    <m/>
    <m/>
    <m/>
    <m/>
    <m/>
    <m/>
    <m/>
    <m/>
    <m/>
    <m/>
    <m/>
    <s v="Others in family use it so not required"/>
    <m/>
    <s v="Yes"/>
    <s v="Yes"/>
    <s v="Yes"/>
    <s v="Neutral"/>
    <s v="Neutral"/>
    <s v="Neutral"/>
    <s v="Neutral"/>
    <s v="Strongly Agree"/>
    <s v="Neutral"/>
    <s v="Neutral"/>
  </r>
  <r>
    <n v="49"/>
    <x v="3"/>
    <x v="1"/>
    <x v="0"/>
    <x v="1"/>
    <x v="1"/>
    <s v="Yes"/>
    <x v="1"/>
    <n v="0"/>
    <m/>
    <m/>
    <m/>
    <m/>
    <m/>
    <m/>
    <x v="1"/>
    <m/>
    <m/>
    <m/>
    <m/>
    <m/>
    <m/>
    <m/>
    <m/>
    <m/>
    <m/>
    <m/>
    <m/>
    <m/>
    <m/>
    <m/>
    <m/>
    <m/>
    <m/>
    <m/>
    <m/>
    <m/>
    <m/>
    <m/>
    <m/>
    <m/>
    <m/>
    <m/>
    <m/>
    <m/>
    <m/>
    <m/>
    <s v="Others in family use it so not required"/>
    <m/>
    <s v="Yes"/>
    <s v="Maybe"/>
    <s v="Yes"/>
    <s v="Agree"/>
    <s v="Agree"/>
    <s v="Agree"/>
    <s v="Agree"/>
    <s v="Neutral"/>
    <s v="Agree"/>
    <s v="Strongly Agree"/>
  </r>
  <r>
    <n v="59"/>
    <x v="2"/>
    <x v="1"/>
    <x v="3"/>
    <x v="3"/>
    <x v="0"/>
    <s v="Yes"/>
    <x v="1"/>
    <n v="0"/>
    <m/>
    <m/>
    <m/>
    <m/>
    <m/>
    <m/>
    <x v="1"/>
    <m/>
    <m/>
    <m/>
    <m/>
    <m/>
    <m/>
    <m/>
    <m/>
    <m/>
    <m/>
    <m/>
    <m/>
    <m/>
    <m/>
    <m/>
    <m/>
    <m/>
    <m/>
    <m/>
    <m/>
    <m/>
    <m/>
    <m/>
    <s v=" Delivery charges are high"/>
    <m/>
    <m/>
    <s v="I prefer buying from local stores"/>
    <m/>
    <s v=" Not comfortable using apps"/>
    <m/>
    <m/>
    <m/>
    <m/>
    <s v="Yes"/>
    <s v="No"/>
    <s v="Yes"/>
    <s v="Neutral"/>
    <s v="Neutral"/>
    <s v="Neutral"/>
    <s v="Neutral"/>
    <s v="Neutral"/>
    <s v="Neutral"/>
    <s v="Neutral"/>
  </r>
  <r>
    <n v="36"/>
    <x v="4"/>
    <x v="1"/>
    <x v="0"/>
    <x v="1"/>
    <x v="1"/>
    <s v="Yes"/>
    <x v="1"/>
    <n v="0"/>
    <m/>
    <m/>
    <m/>
    <m/>
    <m/>
    <m/>
    <x v="1"/>
    <m/>
    <m/>
    <m/>
    <m/>
    <m/>
    <m/>
    <m/>
    <m/>
    <m/>
    <m/>
    <m/>
    <m/>
    <m/>
    <m/>
    <m/>
    <m/>
    <m/>
    <m/>
    <m/>
    <m/>
    <m/>
    <m/>
    <m/>
    <m/>
    <m/>
    <m/>
    <m/>
    <m/>
    <m/>
    <m/>
    <m/>
    <s v="Others in family use it so not required"/>
    <m/>
    <s v="No"/>
    <s v="No"/>
    <s v="No"/>
    <s v="Disagree"/>
    <s v="Disagree"/>
    <s v="Neutral"/>
    <s v="Disagree"/>
    <s v="Neutral"/>
    <s v="Disagree"/>
    <s v="Agree"/>
  </r>
  <r>
    <n v="45"/>
    <x v="3"/>
    <x v="1"/>
    <x v="3"/>
    <x v="3"/>
    <x v="1"/>
    <s v="Yes"/>
    <x v="1"/>
    <n v="0"/>
    <m/>
    <m/>
    <m/>
    <m/>
    <m/>
    <m/>
    <x v="1"/>
    <m/>
    <m/>
    <m/>
    <m/>
    <m/>
    <m/>
    <m/>
    <m/>
    <m/>
    <m/>
    <m/>
    <m/>
    <m/>
    <m/>
    <m/>
    <m/>
    <m/>
    <m/>
    <m/>
    <m/>
    <m/>
    <m/>
    <m/>
    <m/>
    <m/>
    <m/>
    <m/>
    <m/>
    <m/>
    <s v="Not aware how to use the apps"/>
    <m/>
    <m/>
    <m/>
    <s v="Yes"/>
    <s v="No"/>
    <s v="Yes"/>
    <s v="Neutral"/>
    <s v="Neutral"/>
    <s v="Neutral"/>
    <s v="Neutral"/>
    <s v="Neutral"/>
    <s v="Neutral"/>
    <s v="Neutral"/>
  </r>
  <r>
    <n v="52"/>
    <x v="2"/>
    <x v="1"/>
    <x v="0"/>
    <x v="2"/>
    <x v="0"/>
    <s v="Yes"/>
    <x v="1"/>
    <n v="0"/>
    <m/>
    <m/>
    <m/>
    <m/>
    <m/>
    <m/>
    <x v="1"/>
    <m/>
    <m/>
    <m/>
    <m/>
    <m/>
    <m/>
    <m/>
    <m/>
    <m/>
    <m/>
    <m/>
    <m/>
    <m/>
    <m/>
    <m/>
    <m/>
    <m/>
    <m/>
    <m/>
    <m/>
    <m/>
    <m/>
    <m/>
    <m/>
    <m/>
    <m/>
    <m/>
    <m/>
    <m/>
    <s v="Not aware how to use the apps"/>
    <m/>
    <m/>
    <m/>
    <s v="Maybe"/>
    <s v="Yes"/>
    <s v="Yes"/>
    <s v="Agree"/>
    <s v="Agree"/>
    <s v="Agree"/>
    <s v="Agree"/>
    <s v="Neutral"/>
    <s v="Agree"/>
    <s v="Strongly Agree"/>
  </r>
  <r>
    <n v="63"/>
    <x v="2"/>
    <x v="1"/>
    <x v="3"/>
    <x v="3"/>
    <x v="1"/>
    <s v="No"/>
    <x v="1"/>
    <n v="0"/>
    <m/>
    <m/>
    <m/>
    <m/>
    <m/>
    <m/>
    <x v="1"/>
    <m/>
    <m/>
    <m/>
    <m/>
    <m/>
    <m/>
    <m/>
    <m/>
    <m/>
    <m/>
    <m/>
    <m/>
    <m/>
    <m/>
    <m/>
    <m/>
    <m/>
    <m/>
    <m/>
    <m/>
    <m/>
    <m/>
    <m/>
    <m/>
    <m/>
    <m/>
    <m/>
    <m/>
    <m/>
    <m/>
    <m/>
    <s v="Others in family use it so not required"/>
    <m/>
    <s v="No"/>
    <s v="No"/>
    <s v="No"/>
    <s v="Neutral"/>
    <s v="Neutral"/>
    <s v="Neutral"/>
    <s v="Neutral"/>
    <s v="Neutral"/>
    <s v="Neutral"/>
    <s v="Neutral"/>
  </r>
  <r>
    <n v="33"/>
    <x v="1"/>
    <x v="1"/>
    <x v="0"/>
    <x v="1"/>
    <x v="1"/>
    <s v="Yes"/>
    <x v="1"/>
    <n v="0"/>
    <m/>
    <m/>
    <m/>
    <m/>
    <m/>
    <m/>
    <x v="1"/>
    <m/>
    <m/>
    <m/>
    <m/>
    <m/>
    <m/>
    <m/>
    <m/>
    <m/>
    <m/>
    <m/>
    <m/>
    <m/>
    <m/>
    <m/>
    <m/>
    <m/>
    <m/>
    <m/>
    <m/>
    <m/>
    <m/>
    <m/>
    <m/>
    <m/>
    <m/>
    <m/>
    <m/>
    <m/>
    <m/>
    <m/>
    <m/>
    <m/>
    <s v="Yes"/>
    <s v="No"/>
    <s v="Yes"/>
    <s v="Neutral"/>
    <s v="Neutral"/>
    <s v="Neutral"/>
    <s v="Neutral"/>
    <s v="Neutral"/>
    <s v="Neutral"/>
    <s v="Neutral"/>
  </r>
  <r>
    <n v="40"/>
    <x v="4"/>
    <x v="1"/>
    <x v="0"/>
    <x v="1"/>
    <x v="1"/>
    <s v="Yes"/>
    <x v="1"/>
    <n v="0"/>
    <m/>
    <m/>
    <m/>
    <m/>
    <m/>
    <m/>
    <x v="1"/>
    <m/>
    <m/>
    <m/>
    <m/>
    <m/>
    <m/>
    <m/>
    <m/>
    <m/>
    <m/>
    <m/>
    <m/>
    <m/>
    <m/>
    <m/>
    <m/>
    <m/>
    <m/>
    <m/>
    <m/>
    <m/>
    <m/>
    <m/>
    <m/>
    <m/>
    <m/>
    <m/>
    <m/>
    <m/>
    <s v="Not aware how to use the apps"/>
    <m/>
    <m/>
    <m/>
    <s v="No"/>
    <s v="No"/>
    <s v="Yes"/>
    <s v="Neutral"/>
    <s v="Neutral"/>
    <s v="Neutral"/>
    <s v="Neutral"/>
    <s v="Neutral"/>
    <s v="Neutral"/>
    <s v="Neutral"/>
  </r>
  <r>
    <n v="60"/>
    <x v="2"/>
    <x v="1"/>
    <x v="4"/>
    <x v="3"/>
    <x v="3"/>
    <s v="No"/>
    <x v="1"/>
    <n v="0"/>
    <m/>
    <m/>
    <m/>
    <m/>
    <m/>
    <m/>
    <x v="1"/>
    <m/>
    <m/>
    <m/>
    <m/>
    <m/>
    <m/>
    <m/>
    <m/>
    <m/>
    <m/>
    <m/>
    <m/>
    <m/>
    <m/>
    <m/>
    <m/>
    <m/>
    <m/>
    <m/>
    <m/>
    <m/>
    <m/>
    <m/>
    <m/>
    <m/>
    <m/>
    <m/>
    <m/>
    <m/>
    <s v="Not aware how to use the apps"/>
    <m/>
    <m/>
    <m/>
    <s v="No"/>
    <s v="No"/>
    <s v="No"/>
    <s v="Neutral"/>
    <s v="Neutral"/>
    <s v="Neutral"/>
    <s v="Neutral"/>
    <s v="Neutral"/>
    <s v="Neutral"/>
    <s v="Neutral"/>
  </r>
  <r>
    <n v="28"/>
    <x v="1"/>
    <x v="1"/>
    <x v="0"/>
    <x v="0"/>
    <x v="1"/>
    <s v="Yes"/>
    <x v="1"/>
    <n v="0"/>
    <m/>
    <m/>
    <m/>
    <m/>
    <m/>
    <m/>
    <x v="1"/>
    <m/>
    <m/>
    <m/>
    <m/>
    <m/>
    <m/>
    <m/>
    <m/>
    <m/>
    <m/>
    <m/>
    <m/>
    <m/>
    <m/>
    <m/>
    <m/>
    <m/>
    <m/>
    <m/>
    <m/>
    <m/>
    <m/>
    <m/>
    <m/>
    <m/>
    <m/>
    <m/>
    <m/>
    <m/>
    <m/>
    <m/>
    <m/>
    <s v="Not Available"/>
    <s v="Yes"/>
    <s v="Yes"/>
    <s v="Yes"/>
    <s v="Neutral"/>
    <s v="Neutral"/>
    <s v="Neutral"/>
    <s v="Neutral"/>
    <s v="Strongly Agree"/>
    <s v="Neutral"/>
    <s v="Neutral"/>
  </r>
  <r>
    <n v="54"/>
    <x v="2"/>
    <x v="1"/>
    <x v="0"/>
    <x v="3"/>
    <x v="1"/>
    <s v="Yes"/>
    <x v="1"/>
    <n v="0"/>
    <m/>
    <m/>
    <m/>
    <m/>
    <m/>
    <m/>
    <x v="1"/>
    <m/>
    <m/>
    <m/>
    <m/>
    <m/>
    <m/>
    <m/>
    <m/>
    <m/>
    <m/>
    <m/>
    <m/>
    <m/>
    <m/>
    <m/>
    <m/>
    <m/>
    <m/>
    <m/>
    <m/>
    <m/>
    <m/>
    <m/>
    <m/>
    <m/>
    <m/>
    <s v="I prefer buying from local stores"/>
    <m/>
    <m/>
    <m/>
    <m/>
    <m/>
    <m/>
    <s v="Maybe"/>
    <s v="Maybe"/>
    <s v="Yes"/>
    <s v="Agree"/>
    <s v="Agree"/>
    <s v="Agree"/>
    <s v="Agree"/>
    <s v="Neutral"/>
    <s v="Agree"/>
    <s v="Strongly Agree"/>
  </r>
  <r>
    <n v="43"/>
    <x v="3"/>
    <x v="1"/>
    <x v="1"/>
    <x v="1"/>
    <x v="3"/>
    <s v="Yes"/>
    <x v="1"/>
    <n v="0"/>
    <m/>
    <m/>
    <m/>
    <m/>
    <m/>
    <m/>
    <x v="1"/>
    <m/>
    <m/>
    <m/>
    <m/>
    <m/>
    <m/>
    <m/>
    <m/>
    <m/>
    <m/>
    <m/>
    <m/>
    <m/>
    <m/>
    <m/>
    <m/>
    <m/>
    <m/>
    <m/>
    <m/>
    <m/>
    <m/>
    <m/>
    <m/>
    <m/>
    <m/>
    <m/>
    <m/>
    <m/>
    <m/>
    <m/>
    <s v="Others in Family Order it"/>
    <m/>
    <s v="Yes"/>
    <s v="Yes"/>
    <s v="Yes"/>
    <s v="Strongly Agree"/>
    <s v="Strongly Agree"/>
    <s v="Strongly Agree"/>
    <s v="Strongly Agree"/>
    <s v="Neutral"/>
    <s v="Strongly Agree"/>
    <s v="Strongly Agree"/>
  </r>
  <r>
    <n v="66"/>
    <x v="2"/>
    <x v="1"/>
    <x v="4"/>
    <x v="3"/>
    <x v="0"/>
    <s v="No"/>
    <x v="1"/>
    <n v="0"/>
    <m/>
    <m/>
    <m/>
    <m/>
    <m/>
    <m/>
    <x v="1"/>
    <m/>
    <m/>
    <m/>
    <m/>
    <m/>
    <m/>
    <m/>
    <m/>
    <m/>
    <m/>
    <m/>
    <m/>
    <m/>
    <m/>
    <m/>
    <m/>
    <m/>
    <m/>
    <m/>
    <m/>
    <m/>
    <m/>
    <m/>
    <m/>
    <m/>
    <m/>
    <m/>
    <m/>
    <m/>
    <s v="Not aware how to use the apps"/>
    <m/>
    <m/>
    <m/>
    <s v="No"/>
    <s v="No"/>
    <s v="No"/>
    <s v="Neutral"/>
    <s v="Neutral"/>
    <s v="Neutral"/>
    <s v="Neutral"/>
    <s v="Neutral"/>
    <s v="Neutral"/>
    <s v="Neutral"/>
  </r>
  <r>
    <n v="38"/>
    <x v="4"/>
    <x v="1"/>
    <x v="0"/>
    <x v="1"/>
    <x v="3"/>
    <s v="Yes"/>
    <x v="1"/>
    <n v="0"/>
    <m/>
    <m/>
    <m/>
    <m/>
    <m/>
    <m/>
    <x v="1"/>
    <m/>
    <m/>
    <m/>
    <m/>
    <m/>
    <m/>
    <m/>
    <m/>
    <m/>
    <m/>
    <m/>
    <m/>
    <m/>
    <m/>
    <m/>
    <m/>
    <m/>
    <m/>
    <m/>
    <m/>
    <m/>
    <m/>
    <m/>
    <m/>
    <m/>
    <m/>
    <m/>
    <m/>
    <m/>
    <m/>
    <m/>
    <s v="Others in Family Order it"/>
    <m/>
    <s v="Yes"/>
    <s v="Yes"/>
    <s v="Yes"/>
    <s v="Agree"/>
    <s v="Agree"/>
    <s v="Agree"/>
    <s v="Agree"/>
    <s v="Neutral"/>
    <s v="Agree"/>
    <s v="Strongly Agree"/>
  </r>
  <r>
    <n v="50"/>
    <x v="2"/>
    <x v="1"/>
    <x v="0"/>
    <x v="2"/>
    <x v="1"/>
    <s v="Yes"/>
    <x v="1"/>
    <n v="0"/>
    <m/>
    <m/>
    <m/>
    <m/>
    <m/>
    <m/>
    <x v="1"/>
    <m/>
    <m/>
    <m/>
    <m/>
    <m/>
    <m/>
    <m/>
    <m/>
    <m/>
    <m/>
    <m/>
    <m/>
    <m/>
    <m/>
    <m/>
    <m/>
    <m/>
    <m/>
    <m/>
    <m/>
    <m/>
    <m/>
    <m/>
    <m/>
    <m/>
    <m/>
    <m/>
    <m/>
    <m/>
    <s v="Not aware how to use the apps"/>
    <m/>
    <m/>
    <m/>
    <s v="Maybe"/>
    <s v="No"/>
    <s v="Yes"/>
    <s v="Disagree"/>
    <s v="Disagree"/>
    <s v="Disagree"/>
    <s v="Disagree"/>
    <s v="Neutral"/>
    <s v="Disagree"/>
    <s v="Agree"/>
  </r>
  <r>
    <n v="35"/>
    <x v="4"/>
    <x v="1"/>
    <x v="0"/>
    <x v="1"/>
    <x v="1"/>
    <s v="Yes"/>
    <x v="1"/>
    <n v="0"/>
    <m/>
    <m/>
    <m/>
    <m/>
    <m/>
    <m/>
    <x v="1"/>
    <m/>
    <m/>
    <m/>
    <m/>
    <m/>
    <m/>
    <m/>
    <m/>
    <m/>
    <m/>
    <m/>
    <m/>
    <m/>
    <m/>
    <m/>
    <m/>
    <m/>
    <m/>
    <m/>
    <m/>
    <m/>
    <m/>
    <m/>
    <m/>
    <m/>
    <m/>
    <m/>
    <m/>
    <m/>
    <s v="Not aware how to use the apps"/>
    <m/>
    <m/>
    <m/>
    <s v="Yes"/>
    <s v="No"/>
    <s v="Yes"/>
    <s v="Neutral"/>
    <s v="Neutral"/>
    <s v="Neutral"/>
    <s v="Neutral"/>
    <s v="Neutral"/>
    <s v="Neutral"/>
    <s v="Neutral"/>
  </r>
  <r>
    <n v="64"/>
    <x v="2"/>
    <x v="1"/>
    <x v="4"/>
    <x v="3"/>
    <x v="1"/>
    <s v="No"/>
    <x v="1"/>
    <n v="0"/>
    <m/>
    <m/>
    <m/>
    <m/>
    <m/>
    <m/>
    <x v="1"/>
    <m/>
    <m/>
    <m/>
    <m/>
    <m/>
    <m/>
    <m/>
    <m/>
    <m/>
    <m/>
    <m/>
    <m/>
    <m/>
    <m/>
    <m/>
    <m/>
    <m/>
    <m/>
    <m/>
    <m/>
    <m/>
    <m/>
    <m/>
    <m/>
    <m/>
    <m/>
    <m/>
    <m/>
    <m/>
    <s v="Not aware how to use the apps"/>
    <m/>
    <m/>
    <m/>
    <s v="No"/>
    <s v="No"/>
    <s v="No"/>
    <s v="Disagree"/>
    <s v="Disagree"/>
    <s v="Disagree"/>
    <s v="Disagree"/>
    <s v="Neutral"/>
    <s v="Disagree"/>
    <s v="Neutral"/>
  </r>
  <r>
    <n v="32"/>
    <x v="1"/>
    <x v="1"/>
    <x v="0"/>
    <x v="1"/>
    <x v="2"/>
    <s v="Yes"/>
    <x v="1"/>
    <n v="0"/>
    <m/>
    <m/>
    <m/>
    <m/>
    <m/>
    <m/>
    <x v="1"/>
    <m/>
    <m/>
    <m/>
    <m/>
    <m/>
    <m/>
    <m/>
    <m/>
    <m/>
    <m/>
    <m/>
    <m/>
    <m/>
    <m/>
    <m/>
    <m/>
    <m/>
    <m/>
    <m/>
    <m/>
    <m/>
    <m/>
    <m/>
    <s v="Delivery charges are high"/>
    <m/>
    <m/>
    <m/>
    <m/>
    <m/>
    <m/>
    <m/>
    <m/>
    <m/>
    <s v="Maybe"/>
    <s v="Maybe"/>
    <s v="No"/>
    <s v="Agree"/>
    <s v="Agree"/>
    <s v="Agree"/>
    <s v="Agree"/>
    <s v="Neutral"/>
    <s v="Strongly Agree"/>
    <s v="Strongly Agree"/>
  </r>
  <r>
    <n v="57"/>
    <x v="2"/>
    <x v="1"/>
    <x v="0"/>
    <x v="2"/>
    <x v="1"/>
    <s v="Yes"/>
    <x v="1"/>
    <n v="0"/>
    <m/>
    <m/>
    <m/>
    <m/>
    <m/>
    <m/>
    <x v="1"/>
    <m/>
    <m/>
    <m/>
    <m/>
    <m/>
    <m/>
    <m/>
    <m/>
    <m/>
    <m/>
    <m/>
    <m/>
    <m/>
    <m/>
    <m/>
    <m/>
    <m/>
    <m/>
    <m/>
    <m/>
    <m/>
    <m/>
    <m/>
    <m/>
    <m/>
    <m/>
    <m/>
    <m/>
    <m/>
    <s v="Not aware how to use the apps"/>
    <m/>
    <m/>
    <m/>
    <s v="No"/>
    <s v="Maybe"/>
    <s v="Yes"/>
    <s v="Neutral"/>
    <s v="Neutral"/>
    <s v="Neutral"/>
    <s v="Neutral"/>
    <s v="Neutral"/>
    <s v="Neutral"/>
    <s v="Neutral"/>
  </r>
  <r>
    <n v="41"/>
    <x v="4"/>
    <x v="1"/>
    <x v="0"/>
    <x v="1"/>
    <x v="1"/>
    <s v="Yes"/>
    <x v="1"/>
    <n v="0"/>
    <m/>
    <m/>
    <m/>
    <m/>
    <m/>
    <m/>
    <x v="1"/>
    <m/>
    <m/>
    <m/>
    <m/>
    <m/>
    <m/>
    <m/>
    <m/>
    <m/>
    <m/>
    <m/>
    <m/>
    <m/>
    <m/>
    <m/>
    <m/>
    <m/>
    <m/>
    <m/>
    <m/>
    <m/>
    <m/>
    <m/>
    <m/>
    <m/>
    <m/>
    <m/>
    <m/>
    <m/>
    <m/>
    <m/>
    <m/>
    <s v="Not Available"/>
    <s v="Maybe"/>
    <s v="Maybe"/>
    <s v="No"/>
    <s v="Neutral"/>
    <s v="Neutral"/>
    <s v="Neutral"/>
    <s v="Neutral"/>
    <s v="Strongly Agree"/>
    <s v="Neutral"/>
    <s v="Neutral"/>
  </r>
  <r>
    <n v="41"/>
    <x v="4"/>
    <x v="1"/>
    <x v="0"/>
    <x v="1"/>
    <x v="1"/>
    <s v="Yes"/>
    <x v="0"/>
    <n v="1"/>
    <s v="Blinkit"/>
    <m/>
    <m/>
    <m/>
    <m/>
    <m/>
    <x v="0"/>
    <s v="6-12 months"/>
    <s v="₹400 - ₹600"/>
    <s v="Evening"/>
    <s v="UPI"/>
    <s v="Groceries "/>
    <m/>
    <s v="Daily Essentials"/>
    <m/>
    <m/>
    <s v="Agree"/>
    <s v="Agree"/>
    <s v="Agree"/>
    <s v="Agree"/>
    <s v="Agree"/>
    <s v="Agree"/>
    <s v="Agree"/>
    <s v="Agree"/>
    <s v="Neutral"/>
    <s v="Neutral"/>
    <n v="5"/>
    <n v="5"/>
    <n v="5"/>
    <s v="Convenience"/>
    <m/>
    <m/>
    <m/>
    <m/>
    <m/>
    <m/>
    <m/>
    <m/>
    <m/>
    <m/>
    <m/>
    <m/>
    <m/>
    <m/>
    <m/>
    <m/>
    <m/>
    <m/>
    <m/>
    <m/>
  </r>
  <r>
    <n v="26"/>
    <x v="1"/>
    <x v="1"/>
    <x v="0"/>
    <x v="0"/>
    <x v="1"/>
    <s v="Yes"/>
    <x v="1"/>
    <n v="0"/>
    <m/>
    <m/>
    <m/>
    <m/>
    <m/>
    <m/>
    <x v="1"/>
    <m/>
    <m/>
    <m/>
    <m/>
    <m/>
    <m/>
    <m/>
    <m/>
    <m/>
    <m/>
    <m/>
    <m/>
    <m/>
    <m/>
    <m/>
    <m/>
    <m/>
    <m/>
    <m/>
    <m/>
    <m/>
    <m/>
    <m/>
    <m/>
    <m/>
    <m/>
    <m/>
    <m/>
    <m/>
    <m/>
    <m/>
    <m/>
    <s v="Not Available"/>
    <s v="Yes"/>
    <s v="Yes"/>
    <s v="Yes"/>
    <s v="Neutral"/>
    <s v="Neutral"/>
    <s v="Neutral"/>
    <s v="Neutral"/>
    <s v="Strongly Agree"/>
    <s v="Neutral"/>
    <s v="Neutral"/>
  </r>
  <r>
    <n v="49"/>
    <x v="3"/>
    <x v="1"/>
    <x v="0"/>
    <x v="1"/>
    <x v="3"/>
    <s v="Yes"/>
    <x v="1"/>
    <n v="0"/>
    <m/>
    <m/>
    <m/>
    <m/>
    <m/>
    <m/>
    <x v="1"/>
    <m/>
    <m/>
    <m/>
    <m/>
    <m/>
    <m/>
    <m/>
    <m/>
    <m/>
    <m/>
    <m/>
    <m/>
    <m/>
    <m/>
    <m/>
    <m/>
    <m/>
    <m/>
    <m/>
    <m/>
    <m/>
    <m/>
    <m/>
    <m/>
    <m/>
    <m/>
    <m/>
    <m/>
    <m/>
    <m/>
    <m/>
    <s v="Others in Family Order it"/>
    <m/>
    <s v="Maybe"/>
    <s v="Maybe"/>
    <s v="Yes"/>
    <s v="Agree"/>
    <s v="Agree"/>
    <s v="Agree"/>
    <s v="Agree"/>
    <s v="Neutral"/>
    <s v="Agree"/>
    <s v="Strongly Agree"/>
  </r>
  <r>
    <n v="58"/>
    <x v="2"/>
    <x v="1"/>
    <x v="0"/>
    <x v="3"/>
    <x v="3"/>
    <s v="No"/>
    <x v="1"/>
    <n v="0"/>
    <m/>
    <m/>
    <m/>
    <m/>
    <m/>
    <m/>
    <x v="1"/>
    <m/>
    <m/>
    <m/>
    <m/>
    <m/>
    <m/>
    <m/>
    <m/>
    <m/>
    <m/>
    <m/>
    <m/>
    <m/>
    <m/>
    <m/>
    <m/>
    <m/>
    <m/>
    <m/>
    <m/>
    <m/>
    <m/>
    <m/>
    <m/>
    <m/>
    <m/>
    <m/>
    <m/>
    <m/>
    <s v="Not aware how to use the apps"/>
    <m/>
    <m/>
    <m/>
    <s v="No"/>
    <s v="No"/>
    <s v="Yes"/>
    <s v="Neutral"/>
    <s v="Neutral"/>
    <s v="Neutral"/>
    <s v="Neutral"/>
    <s v="Neutral"/>
    <s v="Neutral"/>
    <s v="Neutral"/>
  </r>
  <r>
    <n v="37"/>
    <x v="4"/>
    <x v="1"/>
    <x v="0"/>
    <x v="1"/>
    <x v="1"/>
    <s v="Yes"/>
    <x v="1"/>
    <n v="0"/>
    <m/>
    <m/>
    <m/>
    <m/>
    <m/>
    <m/>
    <x v="1"/>
    <m/>
    <m/>
    <m/>
    <m/>
    <m/>
    <m/>
    <m/>
    <m/>
    <m/>
    <m/>
    <m/>
    <m/>
    <m/>
    <m/>
    <m/>
    <m/>
    <m/>
    <m/>
    <m/>
    <m/>
    <m/>
    <m/>
    <m/>
    <s v="Delivery charges are high"/>
    <m/>
    <m/>
    <m/>
    <m/>
    <m/>
    <m/>
    <m/>
    <m/>
    <m/>
    <s v="Maybe"/>
    <s v="Maybe"/>
    <s v="No"/>
    <s v="Agree"/>
    <s v="Agree"/>
    <s v="Agree"/>
    <s v="Strongly Agree"/>
    <s v="Neutral"/>
    <s v="Strongly Agree"/>
    <s v="Strongly Agree"/>
  </r>
  <r>
    <n v="52"/>
    <x v="2"/>
    <x v="1"/>
    <x v="3"/>
    <x v="3"/>
    <x v="1"/>
    <s v="Yes"/>
    <x v="1"/>
    <n v="0"/>
    <m/>
    <m/>
    <m/>
    <m/>
    <m/>
    <m/>
    <x v="1"/>
    <m/>
    <m/>
    <m/>
    <m/>
    <m/>
    <m/>
    <m/>
    <m/>
    <m/>
    <m/>
    <m/>
    <m/>
    <m/>
    <m/>
    <m/>
    <m/>
    <m/>
    <m/>
    <m/>
    <m/>
    <m/>
    <m/>
    <m/>
    <m/>
    <m/>
    <m/>
    <s v="I prefer buying from local stores"/>
    <m/>
    <m/>
    <m/>
    <m/>
    <m/>
    <m/>
    <s v="Maybe"/>
    <s v="Maybe"/>
    <s v="Yes"/>
    <s v="Neutral"/>
    <s v="Neutral"/>
    <s v="Neutral"/>
    <s v="Neutral"/>
    <s v="Neutral"/>
    <s v="Neutral"/>
    <s v="Neutral"/>
  </r>
  <r>
    <n v="31"/>
    <x v="1"/>
    <x v="0"/>
    <x v="2"/>
    <x v="1"/>
    <x v="3"/>
    <s v="Yes"/>
    <x v="0"/>
    <n v="1"/>
    <m/>
    <m/>
    <s v="Swiggy Instamart"/>
    <m/>
    <m/>
    <m/>
    <x v="2"/>
    <s v="6-12 months"/>
    <s v="₹200 - ₹400"/>
    <s v="Evening"/>
    <s v="UPI"/>
    <m/>
    <m/>
    <s v="Daily Essentials"/>
    <m/>
    <m/>
    <s v="Neutral"/>
    <s v="Agree"/>
    <s v="Agree"/>
    <s v="Neutral"/>
    <s v="Disagree"/>
    <s v="Agree"/>
    <s v="Agree"/>
    <s v="Agree"/>
    <s v="Strongly Agree"/>
    <s v="Agree"/>
    <n v="4"/>
    <n v="4"/>
    <n v="3"/>
    <m/>
    <m/>
    <m/>
    <m/>
    <m/>
    <m/>
    <m/>
    <s v="Not aware how to use the apps"/>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BC22D-5C8E-4437-864A-3F31AC7A3D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rowPageCount="1" colPageCount="1"/>
  <pivotFields count="59">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Row" dataField="1"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pageFields count="1">
    <pageField fld="7" item="1" hier="-1"/>
  </pageFields>
  <dataFields count="1">
    <dataField name="Count of App_Used" fld="15" subtotal="count" baseField="0" baseItem="0"/>
  </dataFields>
  <chartFormats count="15">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5" count="1" selected="0">
            <x v="0"/>
          </reference>
        </references>
      </pivotArea>
    </chartFormat>
    <chartFormat chart="9" format="3">
      <pivotArea type="data" outline="0" fieldPosition="0">
        <references count="2">
          <reference field="4294967294" count="1" selected="0">
            <x v="0"/>
          </reference>
          <reference field="15" count="1" selected="0">
            <x v="1"/>
          </reference>
        </references>
      </pivotArea>
    </chartFormat>
    <chartFormat chart="9" format="4">
      <pivotArea type="data" outline="0" fieldPosition="0">
        <references count="2">
          <reference field="4294967294" count="1" selected="0">
            <x v="0"/>
          </reference>
          <reference field="15" count="1" selected="0">
            <x v="2"/>
          </reference>
        </references>
      </pivotArea>
    </chartFormat>
    <chartFormat chart="9" format="5">
      <pivotArea type="data" outline="0" fieldPosition="0">
        <references count="2">
          <reference field="4294967294" count="1" selected="0">
            <x v="0"/>
          </reference>
          <reference field="15"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5" count="1" selected="0">
            <x v="0"/>
          </reference>
        </references>
      </pivotArea>
    </chartFormat>
    <chartFormat chart="10" format="8">
      <pivotArea type="data" outline="0" fieldPosition="0">
        <references count="2">
          <reference field="4294967294" count="1" selected="0">
            <x v="0"/>
          </reference>
          <reference field="15" count="1" selected="0">
            <x v="1"/>
          </reference>
        </references>
      </pivotArea>
    </chartFormat>
    <chartFormat chart="10" format="9">
      <pivotArea type="data" outline="0" fieldPosition="0">
        <references count="2">
          <reference field="4294967294" count="1" selected="0">
            <x v="0"/>
          </reference>
          <reference field="15" count="1" selected="0">
            <x v="2"/>
          </reference>
        </references>
      </pivotArea>
    </chartFormat>
    <chartFormat chart="10" format="10">
      <pivotArea type="data" outline="0" fieldPosition="0">
        <references count="2">
          <reference field="4294967294" count="1" selected="0">
            <x v="0"/>
          </reference>
          <reference field="15" count="1" selected="0">
            <x v="3"/>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8D86E-5C4C-494C-B4ED-B7437D24D9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2">
  <location ref="A3:F10" firstHeaderRow="1" firstDataRow="2" firstDataCol="1" rowPageCount="1" colPageCount="1"/>
  <pivotFields count="59">
    <pivotField showAll="0"/>
    <pivotField showAll="0"/>
    <pivotField showAll="0"/>
    <pivotField axis="axisRow" showAll="0">
      <items count="6">
        <item x="3"/>
        <item x="0"/>
        <item x="1"/>
        <item x="2"/>
        <item x="4"/>
        <item t="default"/>
      </items>
    </pivotField>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Col" dataField="1"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App_Used" fld="15" subtotal="count" baseField="0" baseItem="0"/>
  </dataField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4" format="8" series="1">
      <pivotArea type="data" outline="0" fieldPosition="0">
        <references count="2">
          <reference field="4294967294" count="1" selected="0">
            <x v="0"/>
          </reference>
          <reference field="15" count="1" selected="0">
            <x v="0"/>
          </reference>
        </references>
      </pivotArea>
    </chartFormat>
    <chartFormat chart="4" format="9" series="1">
      <pivotArea type="data" outline="0" fieldPosition="0">
        <references count="2">
          <reference field="4294967294" count="1" selected="0">
            <x v="0"/>
          </reference>
          <reference field="15" count="1" selected="0">
            <x v="1"/>
          </reference>
        </references>
      </pivotArea>
    </chartFormat>
    <chartFormat chart="4" format="10" series="1">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2">
          <reference field="4294967294" count="1" selected="0">
            <x v="0"/>
          </reference>
          <reference field="15" count="1" selected="0">
            <x v="3"/>
          </reference>
        </references>
      </pivotArea>
    </chartFormat>
    <chartFormat chart="4"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2E25C-8632-43BA-B2AB-AFA61378E9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5">
  <location ref="A4:F11" firstHeaderRow="1" firstDataRow="2" firstDataCol="1" rowPageCount="1" colPageCount="1"/>
  <pivotFields count="59">
    <pivotField showAll="0"/>
    <pivotField showAll="0"/>
    <pivotField showAll="0"/>
    <pivotField showAll="0"/>
    <pivotField axis="axisRow" showAll="0">
      <items count="6">
        <item x="3"/>
        <item x="2"/>
        <item x="0"/>
        <item x="1"/>
        <item x="4"/>
        <item t="default"/>
      </items>
    </pivotField>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axis="axisCol"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Used_QC" fld="7" subtotal="count" baseField="0" baseItem="0"/>
  </dataFields>
  <chartFormats count="17">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6" format="8" series="1">
      <pivotArea type="data" outline="0" fieldPosition="0">
        <references count="2">
          <reference field="4294967294" count="1" selected="0">
            <x v="0"/>
          </reference>
          <reference field="15" count="1" selected="0">
            <x v="0"/>
          </reference>
        </references>
      </pivotArea>
    </chartFormat>
    <chartFormat chart="6" format="9" series="1">
      <pivotArea type="data" outline="0" fieldPosition="0">
        <references count="2">
          <reference field="4294967294" count="1" selected="0">
            <x v="0"/>
          </reference>
          <reference field="15" count="1" selected="0">
            <x v="1"/>
          </reference>
        </references>
      </pivotArea>
    </chartFormat>
    <chartFormat chart="6" format="10" series="1">
      <pivotArea type="data" outline="0" fieldPosition="0">
        <references count="2">
          <reference field="4294967294" count="1" selected="0">
            <x v="0"/>
          </reference>
          <reference field="15" count="1" selected="0">
            <x v="2"/>
          </reference>
        </references>
      </pivotArea>
    </chartFormat>
    <chartFormat chart="6" format="11" series="1">
      <pivotArea type="data" outline="0" fieldPosition="0">
        <references count="2">
          <reference field="4294967294" count="1" selected="0">
            <x v="0"/>
          </reference>
          <reference field="15" count="1" selected="0">
            <x v="3"/>
          </reference>
        </references>
      </pivotArea>
    </chartFormat>
    <chartFormat chart="6" format="12" series="1">
      <pivotArea type="data" outline="0" fieldPosition="0">
        <references count="2">
          <reference field="4294967294" count="1" selected="0">
            <x v="0"/>
          </reference>
          <reference field="15" count="1" selected="0">
            <x v="4"/>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6" format="13"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198" format="11" series="1">
      <pivotArea type="data" outline="0" fieldPosition="0">
        <references count="2">
          <reference field="4294967294" count="1" selected="0">
            <x v="0"/>
          </reference>
          <reference field="15" count="1" selected="0">
            <x v="0"/>
          </reference>
        </references>
      </pivotArea>
    </chartFormat>
    <chartFormat chart="198" format="12" series="1">
      <pivotArea type="data" outline="0" fieldPosition="0">
        <references count="2">
          <reference field="4294967294" count="1" selected="0">
            <x v="0"/>
          </reference>
          <reference field="15" count="1" selected="0">
            <x v="1"/>
          </reference>
        </references>
      </pivotArea>
    </chartFormat>
    <chartFormat chart="198" format="13" series="1">
      <pivotArea type="data" outline="0" fieldPosition="0">
        <references count="2">
          <reference field="4294967294" count="1" selected="0">
            <x v="0"/>
          </reference>
          <reference field="15" count="1" selected="0">
            <x v="2"/>
          </reference>
        </references>
      </pivotArea>
    </chartFormat>
    <chartFormat chart="198" format="14" series="1">
      <pivotArea type="data" outline="0" fieldPosition="0">
        <references count="2">
          <reference field="4294967294" count="1" selected="0">
            <x v="0"/>
          </reference>
          <reference field="15" count="1" selected="0">
            <x v="3"/>
          </reference>
        </references>
      </pivotArea>
    </chartFormat>
    <chartFormat chart="198" format="15"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AF4F2-CED4-4A38-99A8-238C504CBF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8">
  <location ref="A3:B7" firstHeaderRow="1" firstDataRow="1" firstDataCol="1" rowPageCount="1" colPageCount="1"/>
  <pivotFields count="59">
    <pivotField showAll="0"/>
    <pivotField showAll="0"/>
    <pivotField axis="axisRow" showAll="0">
      <items count="4">
        <item x="1"/>
        <item x="0"/>
        <item x="2"/>
        <item t="default"/>
      </items>
    </pivotField>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7" item="1" hier="-1"/>
  </pageFields>
  <dataFields count="1">
    <dataField name="Count of Used_QC" fld="7" subtotal="count" baseField="0" baseItem="0"/>
  </dataFields>
  <chartFormats count="13">
    <chartFormat chart="6" format="4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2" count="1" selected="0">
            <x v="2"/>
          </reference>
        </references>
      </pivotArea>
    </chartFormat>
    <chartFormat chart="6" format="48">
      <pivotArea type="data" outline="0" fieldPosition="0">
        <references count="2">
          <reference field="4294967294" count="1" selected="0">
            <x v="0"/>
          </reference>
          <reference field="2" count="1" selected="0">
            <x v="2"/>
          </reference>
        </references>
      </pivotArea>
    </chartFormat>
    <chartFormat chart="0" format="9">
      <pivotArea type="data" outline="0" fieldPosition="0">
        <references count="2">
          <reference field="4294967294" count="1" selected="0">
            <x v="0"/>
          </reference>
          <reference field="2" count="1" selected="0">
            <x v="0"/>
          </reference>
        </references>
      </pivotArea>
    </chartFormat>
    <chartFormat chart="0" format="10">
      <pivotArea type="data" outline="0" fieldPosition="0">
        <references count="2">
          <reference field="4294967294" count="1" selected="0">
            <x v="0"/>
          </reference>
          <reference field="2" count="1" selected="0">
            <x v="1"/>
          </reference>
        </references>
      </pivotArea>
    </chartFormat>
    <chartFormat chart="6" format="49" series="1">
      <pivotArea type="data" outline="0" fieldPosition="0">
        <references count="2">
          <reference field="4294967294" count="1" selected="0">
            <x v="0"/>
          </reference>
          <reference field="7" count="1" selected="0">
            <x v="0"/>
          </reference>
        </references>
      </pivotArea>
    </chartFormat>
    <chartFormat chart="6" format="50">
      <pivotArea type="data" outline="0" fieldPosition="0">
        <references count="3">
          <reference field="4294967294" count="1" selected="0">
            <x v="0"/>
          </reference>
          <reference field="2" count="1" selected="0">
            <x v="0"/>
          </reference>
          <reference field="7" count="1" selected="0">
            <x v="0"/>
          </reference>
        </references>
      </pivotArea>
    </chartFormat>
    <chartFormat chart="6" format="51">
      <pivotArea type="data" outline="0" fieldPosition="0">
        <references count="3">
          <reference field="4294967294" count="1" selected="0">
            <x v="0"/>
          </reference>
          <reference field="2" count="1" selected="0">
            <x v="1"/>
          </reference>
          <reference field="7" count="1" selected="0">
            <x v="0"/>
          </reference>
        </references>
      </pivotArea>
    </chartFormat>
    <chartFormat chart="6" format="52">
      <pivotArea type="data" outline="0" fieldPosition="0">
        <references count="3">
          <reference field="4294967294" count="1" selected="0">
            <x v="0"/>
          </reference>
          <reference field="2" count="1" selected="0">
            <x v="2"/>
          </reference>
          <reference field="7" count="1" selected="0">
            <x v="0"/>
          </reference>
        </references>
      </pivotArea>
    </chartFormat>
    <chartFormat chart="6" format="53" series="1">
      <pivotArea type="data" outline="0" fieldPosition="0">
        <references count="2">
          <reference field="4294967294" count="1" selected="0">
            <x v="0"/>
          </reference>
          <reference field="7" count="1" selected="0">
            <x v="1"/>
          </reference>
        </references>
      </pivotArea>
    </chartFormat>
    <chartFormat chart="6" format="54">
      <pivotArea type="data" outline="0" fieldPosition="0">
        <references count="3">
          <reference field="4294967294" count="1" selected="0">
            <x v="0"/>
          </reference>
          <reference field="2" count="1" selected="0">
            <x v="2"/>
          </reference>
          <reference field="7" count="1" selected="0">
            <x v="1"/>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46FF9-9F1D-4088-8350-F0B649462A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2">
  <location ref="A4:F11" firstHeaderRow="1" firstDataRow="2" firstDataCol="1" rowPageCount="1" colPageCount="1"/>
  <pivotFields count="59">
    <pivotField showAll="0"/>
    <pivotField showAll="0"/>
    <pivotField showAll="0"/>
    <pivotField showAll="0"/>
    <pivotField showAll="0"/>
    <pivotField axis="axisRow" dataField="1" showAll="0">
      <items count="6">
        <item x="4"/>
        <item x="2"/>
        <item x="1"/>
        <item x="3"/>
        <item x="0"/>
        <item t="default"/>
      </items>
    </pivotField>
    <pivotField showAll="0"/>
    <pivotField axis="axisPage" showAll="0">
      <items count="3">
        <item x="1"/>
        <item x="0"/>
        <item t="default"/>
      </items>
    </pivotField>
    <pivotField showAll="0"/>
    <pivotField showAll="0"/>
    <pivotField showAll="0"/>
    <pivotField showAll="0"/>
    <pivotField showAll="0"/>
    <pivotField showAll="0"/>
    <pivotField showAll="0"/>
    <pivotField axis="axisCol" multipleItemSelectionAllowed="1"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Income" fld="5" subtotal="count" baseField="0" baseItem="0"/>
  </dataFields>
  <chartFormats count="12">
    <chartFormat chart="6"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6" format="17" series="1">
      <pivotArea type="data" outline="0" fieldPosition="0">
        <references count="2">
          <reference field="4294967294" count="1" selected="0">
            <x v="0"/>
          </reference>
          <reference field="15" count="1" selected="0">
            <x v="1"/>
          </reference>
        </references>
      </pivotArea>
    </chartFormat>
    <chartFormat chart="6" format="18" series="1">
      <pivotArea type="data" outline="0" fieldPosition="0">
        <references count="2">
          <reference field="4294967294" count="1" selected="0">
            <x v="0"/>
          </reference>
          <reference field="15" count="1" selected="0">
            <x v="2"/>
          </reference>
        </references>
      </pivotArea>
    </chartFormat>
    <chartFormat chart="6" format="19" series="1">
      <pivotArea type="data" outline="0" fieldPosition="0">
        <references count="2">
          <reference field="4294967294" count="1" selected="0">
            <x v="0"/>
          </reference>
          <reference field="15" count="1" selected="0">
            <x v="3"/>
          </reference>
        </references>
      </pivotArea>
    </chartFormat>
    <chartFormat chart="6" format="20" series="1">
      <pivotArea type="data" outline="0" fieldPosition="0">
        <references count="2">
          <reference field="4294967294" count="1" selected="0">
            <x v="0"/>
          </reference>
          <reference field="15" count="1" selected="0">
            <x v="4"/>
          </reference>
        </references>
      </pivotArea>
    </chartFormat>
    <chartFormat chart="0" format="7" series="1">
      <pivotArea type="data" outline="0" fieldPosition="0">
        <references count="2">
          <reference field="4294967294" count="1" selected="0">
            <x v="0"/>
          </reference>
          <reference field="15" count="1" selected="0">
            <x v="1"/>
          </reference>
        </references>
      </pivotArea>
    </chartFormat>
    <chartFormat chart="0" format="8" series="1">
      <pivotArea type="data" outline="0" fieldPosition="0">
        <references count="2">
          <reference field="4294967294" count="1" selected="0">
            <x v="0"/>
          </reference>
          <reference field="15" count="1" selected="0">
            <x v="2"/>
          </reference>
        </references>
      </pivotArea>
    </chartFormat>
    <chartFormat chart="0" format="9" series="1">
      <pivotArea type="data" outline="0" fieldPosition="0">
        <references count="2">
          <reference field="4294967294" count="1" selected="0">
            <x v="0"/>
          </reference>
          <reference field="15" count="1" selected="0">
            <x v="3"/>
          </reference>
        </references>
      </pivotArea>
    </chartFormat>
    <chartFormat chart="0" format="10" series="1">
      <pivotArea type="data" outline="0" fieldPosition="0">
        <references count="2">
          <reference field="4294967294" count="1" selected="0">
            <x v="0"/>
          </reference>
          <reference field="15" count="1" selected="0">
            <x v="4"/>
          </reference>
        </references>
      </pivotArea>
    </chartFormat>
    <chartFormat chart="6" format="21" series="1">
      <pivotArea type="data" outline="0" fieldPosition="0">
        <references count="2">
          <reference field="4294967294" count="1" selected="0">
            <x v="0"/>
          </reference>
          <reference field="15" count="1" selected="0">
            <x v="0"/>
          </reference>
        </references>
      </pivotArea>
    </chartFormat>
    <chartFormat chart="0" format="11"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CEFB59-F6D3-4EC4-A73B-3489E6CE48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M10" firstHeaderRow="1" firstDataRow="1" firstDataCol="0"/>
  <pivotFields count="59">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dataField="1"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pp_Used"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799E05-2616-4F60-A4E8-1B3754366E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M5" firstHeaderRow="1" firstDataRow="1" firstDataCol="0"/>
  <pivotFields count="5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Used_QC"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285E31-8808-4907-951A-D4F902D0B7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4">
  <location ref="A3:F10" firstHeaderRow="1" firstDataRow="2" firstDataCol="1" rowPageCount="1" colPageCount="1"/>
  <pivotFields count="59">
    <pivotField showAll="0"/>
    <pivotField axis="axisRow" showAll="0">
      <items count="6">
        <item x="0"/>
        <item x="1"/>
        <item x="4"/>
        <item x="3"/>
        <item x="2"/>
        <item t="default"/>
      </items>
    </pivotField>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Col" dataField="1" showAll="0">
      <items count="6">
        <item x="0"/>
        <item x="2"/>
        <item x="3"/>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15"/>
  </colFields>
  <colItems count="5">
    <i>
      <x/>
    </i>
    <i>
      <x v="1"/>
    </i>
    <i>
      <x v="2"/>
    </i>
    <i>
      <x v="3"/>
    </i>
    <i t="grand">
      <x/>
    </i>
  </colItems>
  <pageFields count="1">
    <pageField fld="7" item="1" hier="-1"/>
  </pageFields>
  <dataFields count="1">
    <dataField name="Count of App_Used" fld="15" subtotal="count" baseField="0" baseItem="0"/>
  </dataFields>
  <chartFormats count="10">
    <chartFormat chart="0" format="0" series="1">
      <pivotArea type="data" outline="0" fieldPosition="0">
        <references count="2">
          <reference field="4294967294" count="1" selected="0">
            <x v="0"/>
          </reference>
          <reference field="15" count="1" selected="0">
            <x v="2"/>
          </reference>
        </references>
      </pivotArea>
    </chartFormat>
    <chartFormat chart="0" format="1" series="1">
      <pivotArea type="data" outline="0" fieldPosition="0">
        <references count="2">
          <reference field="4294967294" count="1" selected="0">
            <x v="0"/>
          </reference>
          <reference field="15" count="1" selected="0">
            <x v="0"/>
          </reference>
        </references>
      </pivotArea>
    </chartFormat>
    <chartFormat chart="0" format="2" series="1">
      <pivotArea type="data" outline="0" fieldPosition="0">
        <references count="2">
          <reference field="4294967294" count="1" selected="0">
            <x v="0"/>
          </reference>
          <reference field="15" count="1" selected="0">
            <x v="1"/>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1">
          <reference field="4294967294" count="1" selected="0">
            <x v="0"/>
          </reference>
        </references>
      </pivotArea>
    </chartFormat>
    <chartFormat chart="623" format="10" series="1">
      <pivotArea type="data" outline="0" fieldPosition="0">
        <references count="2">
          <reference field="4294967294" count="1" selected="0">
            <x v="0"/>
          </reference>
          <reference field="15" count="1" selected="0">
            <x v="0"/>
          </reference>
        </references>
      </pivotArea>
    </chartFormat>
    <chartFormat chart="623" format="11" series="1">
      <pivotArea type="data" outline="0" fieldPosition="0">
        <references count="2">
          <reference field="4294967294" count="1" selected="0">
            <x v="0"/>
          </reference>
          <reference field="15" count="1" selected="0">
            <x v="1"/>
          </reference>
        </references>
      </pivotArea>
    </chartFormat>
    <chartFormat chart="623" format="12" series="1">
      <pivotArea type="data" outline="0" fieldPosition="0">
        <references count="2">
          <reference field="4294967294" count="1" selected="0">
            <x v="0"/>
          </reference>
          <reference field="15" count="1" selected="0">
            <x v="2"/>
          </reference>
        </references>
      </pivotArea>
    </chartFormat>
    <chartFormat chart="623" format="13"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510F2F-A428-4288-98ED-252D2477F5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9">
  <location ref="A3:F8" firstHeaderRow="1" firstDataRow="2" firstDataCol="1" rowPageCount="1" colPageCount="1"/>
  <pivotFields count="59">
    <pivotField showAll="0"/>
    <pivotField showAll="0"/>
    <pivotField axis="axisRow" dataField="1" showAll="0">
      <items count="4">
        <item x="1"/>
        <item x="0"/>
        <item x="2"/>
        <item t="default"/>
      </items>
    </pivotField>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axis="axisCol"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5"/>
  </colFields>
  <colItems count="5">
    <i>
      <x/>
    </i>
    <i>
      <x v="1"/>
    </i>
    <i>
      <x v="2"/>
    </i>
    <i>
      <x v="3"/>
    </i>
    <i t="grand">
      <x/>
    </i>
  </colItems>
  <pageFields count="1">
    <pageField fld="7" item="1" hier="-1"/>
  </pageFields>
  <dataFields count="1">
    <dataField name="Count of Gender" fld="2" subtotal="count" baseField="0" baseItem="0"/>
  </dataFields>
  <chartFormats count="6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pivotArea type="data" outline="0" fieldPosition="0">
        <references count="3">
          <reference field="4294967294" count="1" selected="0">
            <x v="0"/>
          </reference>
          <reference field="2" count="1" selected="0">
            <x v="2"/>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3">
          <reference field="4294967294" count="1" selected="0">
            <x v="0"/>
          </reference>
          <reference field="2" count="1" selected="0">
            <x v="0"/>
          </reference>
          <reference field="15" count="1" selected="0">
            <x v="0"/>
          </reference>
        </references>
      </pivotArea>
    </chartFormat>
    <chartFormat chart="2" format="7">
      <pivotArea type="data" outline="0" fieldPosition="0">
        <references count="3">
          <reference field="4294967294" count="1" selected="0">
            <x v="0"/>
          </reference>
          <reference field="2" count="1" selected="0">
            <x v="1"/>
          </reference>
          <reference field="15" count="1" selected="0">
            <x v="0"/>
          </reference>
        </references>
      </pivotArea>
    </chartFormat>
    <chartFormat chart="2" format="8">
      <pivotArea type="data" outline="0" fieldPosition="0">
        <references count="3">
          <reference field="4294967294" count="1" selected="0">
            <x v="0"/>
          </reference>
          <reference field="2" count="1" selected="0">
            <x v="2"/>
          </reference>
          <reference field="15" count="1" selected="0">
            <x v="0"/>
          </reference>
        </references>
      </pivotArea>
    </chartFormat>
    <chartFormat chart="2" format="9" series="1">
      <pivotArea type="data" outline="0" fieldPosition="0">
        <references count="2">
          <reference field="4294967294" count="1" selected="0">
            <x v="0"/>
          </reference>
          <reference field="15" count="1" selected="0">
            <x v="1"/>
          </reference>
        </references>
      </pivotArea>
    </chartFormat>
    <chartFormat chart="2" format="10">
      <pivotArea type="data" outline="0" fieldPosition="0">
        <references count="3">
          <reference field="4294967294" count="1" selected="0">
            <x v="0"/>
          </reference>
          <reference field="2" count="1" selected="0">
            <x v="0"/>
          </reference>
          <reference field="15" count="1" selected="0">
            <x v="1"/>
          </reference>
        </references>
      </pivotArea>
    </chartFormat>
    <chartFormat chart="2" format="11">
      <pivotArea type="data" outline="0" fieldPosition="0">
        <references count="3">
          <reference field="4294967294" count="1" selected="0">
            <x v="0"/>
          </reference>
          <reference field="2" count="1" selected="0">
            <x v="1"/>
          </reference>
          <reference field="15" count="1" selected="0">
            <x v="1"/>
          </reference>
        </references>
      </pivotArea>
    </chartFormat>
    <chartFormat chart="2" format="12">
      <pivotArea type="data" outline="0" fieldPosition="0">
        <references count="3">
          <reference field="4294967294" count="1" selected="0">
            <x v="0"/>
          </reference>
          <reference field="2" count="1" selected="0">
            <x v="2"/>
          </reference>
          <reference field="15" count="1" selected="0">
            <x v="1"/>
          </reference>
        </references>
      </pivotArea>
    </chartFormat>
    <chartFormat chart="2" format="13" series="1">
      <pivotArea type="data" outline="0" fieldPosition="0">
        <references count="2">
          <reference field="4294967294" count="1" selected="0">
            <x v="0"/>
          </reference>
          <reference field="15" count="1" selected="0">
            <x v="2"/>
          </reference>
        </references>
      </pivotArea>
    </chartFormat>
    <chartFormat chart="2" format="14">
      <pivotArea type="data" outline="0" fieldPosition="0">
        <references count="3">
          <reference field="4294967294" count="1" selected="0">
            <x v="0"/>
          </reference>
          <reference field="2" count="1" selected="0">
            <x v="0"/>
          </reference>
          <reference field="15" count="1" selected="0">
            <x v="2"/>
          </reference>
        </references>
      </pivotArea>
    </chartFormat>
    <chartFormat chart="2" format="15">
      <pivotArea type="data" outline="0" fieldPosition="0">
        <references count="3">
          <reference field="4294967294" count="1" selected="0">
            <x v="0"/>
          </reference>
          <reference field="2" count="1" selected="0">
            <x v="1"/>
          </reference>
          <reference field="15" count="1" selected="0">
            <x v="2"/>
          </reference>
        </references>
      </pivotArea>
    </chartFormat>
    <chartFormat chart="2" format="16">
      <pivotArea type="data" outline="0" fieldPosition="0">
        <references count="3">
          <reference field="4294967294" count="1" selected="0">
            <x v="0"/>
          </reference>
          <reference field="2" count="1" selected="0">
            <x v="2"/>
          </reference>
          <reference field="15" count="1" selected="0">
            <x v="2"/>
          </reference>
        </references>
      </pivotArea>
    </chartFormat>
    <chartFormat chart="2" format="17" series="1">
      <pivotArea type="data" outline="0" fieldPosition="0">
        <references count="2">
          <reference field="4294967294" count="1" selected="0">
            <x v="0"/>
          </reference>
          <reference field="15" count="1" selected="0">
            <x v="3"/>
          </reference>
        </references>
      </pivotArea>
    </chartFormat>
    <chartFormat chart="2" format="18">
      <pivotArea type="data" outline="0" fieldPosition="0">
        <references count="3">
          <reference field="4294967294" count="1" selected="0">
            <x v="0"/>
          </reference>
          <reference field="2" count="1" selected="0">
            <x v="0"/>
          </reference>
          <reference field="15" count="1" selected="0">
            <x v="3"/>
          </reference>
        </references>
      </pivotArea>
    </chartFormat>
    <chartFormat chart="2" format="19">
      <pivotArea type="data" outline="0" fieldPosition="0">
        <references count="3">
          <reference field="4294967294" count="1" selected="0">
            <x v="0"/>
          </reference>
          <reference field="2" count="1" selected="0">
            <x v="1"/>
          </reference>
          <reference field="15" count="1" selected="0">
            <x v="3"/>
          </reference>
        </references>
      </pivotArea>
    </chartFormat>
    <chartFormat chart="2" format="20">
      <pivotArea type="data" outline="0" fieldPosition="0">
        <references count="3">
          <reference field="4294967294" count="1" selected="0">
            <x v="0"/>
          </reference>
          <reference field="2" count="1" selected="0">
            <x v="2"/>
          </reference>
          <reference field="15" count="1" selected="0">
            <x v="3"/>
          </reference>
        </references>
      </pivotArea>
    </chartFormat>
    <chartFormat chart="3" format="21" series="1">
      <pivotArea type="data" outline="0" fieldPosition="0">
        <references count="2">
          <reference field="4294967294" count="1" selected="0">
            <x v="0"/>
          </reference>
          <reference field="15" count="1" selected="0">
            <x v="0"/>
          </reference>
        </references>
      </pivotArea>
    </chartFormat>
    <chartFormat chart="3" format="22">
      <pivotArea type="data" outline="0" fieldPosition="0">
        <references count="3">
          <reference field="4294967294" count="1" selected="0">
            <x v="0"/>
          </reference>
          <reference field="2" count="1" selected="0">
            <x v="0"/>
          </reference>
          <reference field="15" count="1" selected="0">
            <x v="0"/>
          </reference>
        </references>
      </pivotArea>
    </chartFormat>
    <chartFormat chart="3" format="23">
      <pivotArea type="data" outline="0" fieldPosition="0">
        <references count="3">
          <reference field="4294967294" count="1" selected="0">
            <x v="0"/>
          </reference>
          <reference field="2" count="1" selected="0">
            <x v="1"/>
          </reference>
          <reference field="15" count="1" selected="0">
            <x v="0"/>
          </reference>
        </references>
      </pivotArea>
    </chartFormat>
    <chartFormat chart="3" format="24">
      <pivotArea type="data" outline="0" fieldPosition="0">
        <references count="3">
          <reference field="4294967294" count="1" selected="0">
            <x v="0"/>
          </reference>
          <reference field="2" count="1" selected="0">
            <x v="2"/>
          </reference>
          <reference field="15" count="1" selected="0">
            <x v="0"/>
          </reference>
        </references>
      </pivotArea>
    </chartFormat>
    <chartFormat chart="3" format="25" series="1">
      <pivotArea type="data" outline="0" fieldPosition="0">
        <references count="2">
          <reference field="4294967294" count="1" selected="0">
            <x v="0"/>
          </reference>
          <reference field="15" count="1" selected="0">
            <x v="1"/>
          </reference>
        </references>
      </pivotArea>
    </chartFormat>
    <chartFormat chart="3" format="26">
      <pivotArea type="data" outline="0" fieldPosition="0">
        <references count="3">
          <reference field="4294967294" count="1" selected="0">
            <x v="0"/>
          </reference>
          <reference field="2" count="1" selected="0">
            <x v="0"/>
          </reference>
          <reference field="15" count="1" selected="0">
            <x v="1"/>
          </reference>
        </references>
      </pivotArea>
    </chartFormat>
    <chartFormat chart="3" format="27">
      <pivotArea type="data" outline="0" fieldPosition="0">
        <references count="3">
          <reference field="4294967294" count="1" selected="0">
            <x v="0"/>
          </reference>
          <reference field="2" count="1" selected="0">
            <x v="1"/>
          </reference>
          <reference field="15" count="1" selected="0">
            <x v="1"/>
          </reference>
        </references>
      </pivotArea>
    </chartFormat>
    <chartFormat chart="3" format="28">
      <pivotArea type="data" outline="0" fieldPosition="0">
        <references count="3">
          <reference field="4294967294" count="1" selected="0">
            <x v="0"/>
          </reference>
          <reference field="2" count="1" selected="0">
            <x v="2"/>
          </reference>
          <reference field="15" count="1" selected="0">
            <x v="1"/>
          </reference>
        </references>
      </pivotArea>
    </chartFormat>
    <chartFormat chart="3" format="29" series="1">
      <pivotArea type="data" outline="0" fieldPosition="0">
        <references count="2">
          <reference field="4294967294" count="1" selected="0">
            <x v="0"/>
          </reference>
          <reference field="15" count="1" selected="0">
            <x v="2"/>
          </reference>
        </references>
      </pivotArea>
    </chartFormat>
    <chartFormat chart="3" format="30">
      <pivotArea type="data" outline="0" fieldPosition="0">
        <references count="3">
          <reference field="4294967294" count="1" selected="0">
            <x v="0"/>
          </reference>
          <reference field="2" count="1" selected="0">
            <x v="0"/>
          </reference>
          <reference field="15" count="1" selected="0">
            <x v="2"/>
          </reference>
        </references>
      </pivotArea>
    </chartFormat>
    <chartFormat chart="3" format="31">
      <pivotArea type="data" outline="0" fieldPosition="0">
        <references count="3">
          <reference field="4294967294" count="1" selected="0">
            <x v="0"/>
          </reference>
          <reference field="2" count="1" selected="0">
            <x v="1"/>
          </reference>
          <reference field="15" count="1" selected="0">
            <x v="2"/>
          </reference>
        </references>
      </pivotArea>
    </chartFormat>
    <chartFormat chart="3" format="32">
      <pivotArea type="data" outline="0" fieldPosition="0">
        <references count="3">
          <reference field="4294967294" count="1" selected="0">
            <x v="0"/>
          </reference>
          <reference field="2" count="1" selected="0">
            <x v="2"/>
          </reference>
          <reference field="15" count="1" selected="0">
            <x v="2"/>
          </reference>
        </references>
      </pivotArea>
    </chartFormat>
    <chartFormat chart="3" format="33" series="1">
      <pivotArea type="data" outline="0" fieldPosition="0">
        <references count="2">
          <reference field="4294967294" count="1" selected="0">
            <x v="0"/>
          </reference>
          <reference field="15" count="1" selected="0">
            <x v="3"/>
          </reference>
        </references>
      </pivotArea>
    </chartFormat>
    <chartFormat chart="3" format="34">
      <pivotArea type="data" outline="0" fieldPosition="0">
        <references count="3">
          <reference field="4294967294" count="1" selected="0">
            <x v="0"/>
          </reference>
          <reference field="2" count="1" selected="0">
            <x v="0"/>
          </reference>
          <reference field="15" count="1" selected="0">
            <x v="3"/>
          </reference>
        </references>
      </pivotArea>
    </chartFormat>
    <chartFormat chart="3" format="35">
      <pivotArea type="data" outline="0" fieldPosition="0">
        <references count="3">
          <reference field="4294967294" count="1" selected="0">
            <x v="0"/>
          </reference>
          <reference field="2" count="1" selected="0">
            <x v="1"/>
          </reference>
          <reference field="15" count="1" selected="0">
            <x v="3"/>
          </reference>
        </references>
      </pivotArea>
    </chartFormat>
    <chartFormat chart="3" format="36">
      <pivotArea type="data" outline="0" fieldPosition="0">
        <references count="3">
          <reference field="4294967294" count="1" selected="0">
            <x v="0"/>
          </reference>
          <reference field="2" count="1" selected="0">
            <x v="2"/>
          </reference>
          <reference field="15" count="1" selected="0">
            <x v="3"/>
          </reference>
        </references>
      </pivotArea>
    </chartFormat>
    <chartFormat chart="0" format="5">
      <pivotArea type="data" outline="0" fieldPosition="0">
        <references count="3">
          <reference field="4294967294" count="1" selected="0">
            <x v="0"/>
          </reference>
          <reference field="2" count="1" selected="0">
            <x v="0"/>
          </reference>
          <reference field="15" count="1" selected="0">
            <x v="0"/>
          </reference>
        </references>
      </pivotArea>
    </chartFormat>
    <chartFormat chart="0" format="6">
      <pivotArea type="data" outline="0" fieldPosition="0">
        <references count="3">
          <reference field="4294967294" count="1" selected="0">
            <x v="0"/>
          </reference>
          <reference field="2" count="1" selected="0">
            <x v="1"/>
          </reference>
          <reference field="15" count="1" selected="0">
            <x v="0"/>
          </reference>
        </references>
      </pivotArea>
    </chartFormat>
    <chartFormat chart="0" format="7">
      <pivotArea type="data" outline="0" fieldPosition="0">
        <references count="3">
          <reference field="4294967294" count="1" selected="0">
            <x v="0"/>
          </reference>
          <reference field="2" count="1" selected="0">
            <x v="0"/>
          </reference>
          <reference field="15" count="1" selected="0">
            <x v="1"/>
          </reference>
        </references>
      </pivotArea>
    </chartFormat>
    <chartFormat chart="0" format="8">
      <pivotArea type="data" outline="0" fieldPosition="0">
        <references count="3">
          <reference field="4294967294" count="1" selected="0">
            <x v="0"/>
          </reference>
          <reference field="2" count="1" selected="0">
            <x v="1"/>
          </reference>
          <reference field="15" count="1" selected="0">
            <x v="1"/>
          </reference>
        </references>
      </pivotArea>
    </chartFormat>
    <chartFormat chart="0" format="9">
      <pivotArea type="data" outline="0" fieldPosition="0">
        <references count="3">
          <reference field="4294967294" count="1" selected="0">
            <x v="0"/>
          </reference>
          <reference field="2" count="1" selected="0">
            <x v="2"/>
          </reference>
          <reference field="15" count="1" selected="0">
            <x v="1"/>
          </reference>
        </references>
      </pivotArea>
    </chartFormat>
    <chartFormat chart="0" format="10">
      <pivotArea type="data" outline="0" fieldPosition="0">
        <references count="3">
          <reference field="4294967294" count="1" selected="0">
            <x v="0"/>
          </reference>
          <reference field="2" count="1" selected="0">
            <x v="0"/>
          </reference>
          <reference field="15" count="1" selected="0">
            <x v="2"/>
          </reference>
        </references>
      </pivotArea>
    </chartFormat>
    <chartFormat chart="0" format="11">
      <pivotArea type="data" outline="0" fieldPosition="0">
        <references count="3">
          <reference field="4294967294" count="1" selected="0">
            <x v="0"/>
          </reference>
          <reference field="2" count="1" selected="0">
            <x v="1"/>
          </reference>
          <reference field="15" count="1" selected="0">
            <x v="2"/>
          </reference>
        </references>
      </pivotArea>
    </chartFormat>
    <chartFormat chart="0" format="12">
      <pivotArea type="data" outline="0" fieldPosition="0">
        <references count="3">
          <reference field="4294967294" count="1" selected="0">
            <x v="0"/>
          </reference>
          <reference field="2" count="1" selected="0">
            <x v="2"/>
          </reference>
          <reference field="15" count="1" selected="0">
            <x v="2"/>
          </reference>
        </references>
      </pivotArea>
    </chartFormat>
    <chartFormat chart="0" format="13">
      <pivotArea type="data" outline="0" fieldPosition="0">
        <references count="3">
          <reference field="4294967294" count="1" selected="0">
            <x v="0"/>
          </reference>
          <reference field="2" count="1" selected="0">
            <x v="0"/>
          </reference>
          <reference field="15" count="1" selected="0">
            <x v="3"/>
          </reference>
        </references>
      </pivotArea>
    </chartFormat>
    <chartFormat chart="0" format="14">
      <pivotArea type="data" outline="0" fieldPosition="0">
        <references count="3">
          <reference field="4294967294" count="1" selected="0">
            <x v="0"/>
          </reference>
          <reference field="2" count="1" selected="0">
            <x v="1"/>
          </reference>
          <reference field="15" count="1" selected="0">
            <x v="3"/>
          </reference>
        </references>
      </pivotArea>
    </chartFormat>
    <chartFormat chart="0" format="15">
      <pivotArea type="data" outline="0" fieldPosition="0">
        <references count="3">
          <reference field="4294967294" count="1" selected="0">
            <x v="0"/>
          </reference>
          <reference field="2" count="1" selected="0">
            <x v="2"/>
          </reference>
          <reference field="15" count="1" selected="0">
            <x v="3"/>
          </reference>
        </references>
      </pivotArea>
    </chartFormat>
    <chartFormat chart="8" format="32" series="1">
      <pivotArea type="data" outline="0" fieldPosition="0">
        <references count="2">
          <reference field="4294967294" count="1" selected="0">
            <x v="0"/>
          </reference>
          <reference field="15" count="1" selected="0">
            <x v="0"/>
          </reference>
        </references>
      </pivotArea>
    </chartFormat>
    <chartFormat chart="8" format="33">
      <pivotArea type="data" outline="0" fieldPosition="0">
        <references count="3">
          <reference field="4294967294" count="1" selected="0">
            <x v="0"/>
          </reference>
          <reference field="2" count="1" selected="0">
            <x v="0"/>
          </reference>
          <reference field="15" count="1" selected="0">
            <x v="0"/>
          </reference>
        </references>
      </pivotArea>
    </chartFormat>
    <chartFormat chart="8" format="34">
      <pivotArea type="data" outline="0" fieldPosition="0">
        <references count="3">
          <reference field="4294967294" count="1" selected="0">
            <x v="0"/>
          </reference>
          <reference field="2" count="1" selected="0">
            <x v="1"/>
          </reference>
          <reference field="15" count="1" selected="0">
            <x v="0"/>
          </reference>
        </references>
      </pivotArea>
    </chartFormat>
    <chartFormat chart="8" format="35">
      <pivotArea type="data" outline="0" fieldPosition="0">
        <references count="3">
          <reference field="4294967294" count="1" selected="0">
            <x v="0"/>
          </reference>
          <reference field="2" count="1" selected="0">
            <x v="2"/>
          </reference>
          <reference field="15" count="1" selected="0">
            <x v="0"/>
          </reference>
        </references>
      </pivotArea>
    </chartFormat>
    <chartFormat chart="8" format="36" series="1">
      <pivotArea type="data" outline="0" fieldPosition="0">
        <references count="2">
          <reference field="4294967294" count="1" selected="0">
            <x v="0"/>
          </reference>
          <reference field="15" count="1" selected="0">
            <x v="1"/>
          </reference>
        </references>
      </pivotArea>
    </chartFormat>
    <chartFormat chart="8" format="37">
      <pivotArea type="data" outline="0" fieldPosition="0">
        <references count="3">
          <reference field="4294967294" count="1" selected="0">
            <x v="0"/>
          </reference>
          <reference field="2" count="1" selected="0">
            <x v="0"/>
          </reference>
          <reference field="15" count="1" selected="0">
            <x v="1"/>
          </reference>
        </references>
      </pivotArea>
    </chartFormat>
    <chartFormat chart="8" format="38">
      <pivotArea type="data" outline="0" fieldPosition="0">
        <references count="3">
          <reference field="4294967294" count="1" selected="0">
            <x v="0"/>
          </reference>
          <reference field="2" count="1" selected="0">
            <x v="1"/>
          </reference>
          <reference field="15" count="1" selected="0">
            <x v="1"/>
          </reference>
        </references>
      </pivotArea>
    </chartFormat>
    <chartFormat chart="8" format="39">
      <pivotArea type="data" outline="0" fieldPosition="0">
        <references count="3">
          <reference field="4294967294" count="1" selected="0">
            <x v="0"/>
          </reference>
          <reference field="2" count="1" selected="0">
            <x v="2"/>
          </reference>
          <reference field="15" count="1" selected="0">
            <x v="1"/>
          </reference>
        </references>
      </pivotArea>
    </chartFormat>
    <chartFormat chart="8" format="40" series="1">
      <pivotArea type="data" outline="0" fieldPosition="0">
        <references count="2">
          <reference field="4294967294" count="1" selected="0">
            <x v="0"/>
          </reference>
          <reference field="15" count="1" selected="0">
            <x v="2"/>
          </reference>
        </references>
      </pivotArea>
    </chartFormat>
    <chartFormat chart="8" format="41">
      <pivotArea type="data" outline="0" fieldPosition="0">
        <references count="3">
          <reference field="4294967294" count="1" selected="0">
            <x v="0"/>
          </reference>
          <reference field="2" count="1" selected="0">
            <x v="0"/>
          </reference>
          <reference field="15" count="1" selected="0">
            <x v="2"/>
          </reference>
        </references>
      </pivotArea>
    </chartFormat>
    <chartFormat chart="8" format="42">
      <pivotArea type="data" outline="0" fieldPosition="0">
        <references count="3">
          <reference field="4294967294" count="1" selected="0">
            <x v="0"/>
          </reference>
          <reference field="2" count="1" selected="0">
            <x v="1"/>
          </reference>
          <reference field="15" count="1" selected="0">
            <x v="2"/>
          </reference>
        </references>
      </pivotArea>
    </chartFormat>
    <chartFormat chart="8" format="43">
      <pivotArea type="data" outline="0" fieldPosition="0">
        <references count="3">
          <reference field="4294967294" count="1" selected="0">
            <x v="0"/>
          </reference>
          <reference field="2" count="1" selected="0">
            <x v="2"/>
          </reference>
          <reference field="15" count="1" selected="0">
            <x v="2"/>
          </reference>
        </references>
      </pivotArea>
    </chartFormat>
    <chartFormat chart="8" format="44" series="1">
      <pivotArea type="data" outline="0" fieldPosition="0">
        <references count="2">
          <reference field="4294967294" count="1" selected="0">
            <x v="0"/>
          </reference>
          <reference field="15" count="1" selected="0">
            <x v="3"/>
          </reference>
        </references>
      </pivotArea>
    </chartFormat>
    <chartFormat chart="8" format="45">
      <pivotArea type="data" outline="0" fieldPosition="0">
        <references count="3">
          <reference field="4294967294" count="1" selected="0">
            <x v="0"/>
          </reference>
          <reference field="2" count="1" selected="0">
            <x v="0"/>
          </reference>
          <reference field="15" count="1" selected="0">
            <x v="3"/>
          </reference>
        </references>
      </pivotArea>
    </chartFormat>
    <chartFormat chart="8" format="46">
      <pivotArea type="data" outline="0" fieldPosition="0">
        <references count="3">
          <reference field="4294967294" count="1" selected="0">
            <x v="0"/>
          </reference>
          <reference field="2" count="1" selected="0">
            <x v="1"/>
          </reference>
          <reference field="15" count="1" selected="0">
            <x v="3"/>
          </reference>
        </references>
      </pivotArea>
    </chartFormat>
    <chartFormat chart="8" format="47">
      <pivotArea type="data" outline="0" fieldPosition="0">
        <references count="3">
          <reference field="4294967294" count="1" selected="0">
            <x v="0"/>
          </reference>
          <reference field="2" count="1" selected="0">
            <x v="2"/>
          </reference>
          <reference field="15" count="1" selected="0">
            <x v="3"/>
          </reference>
        </references>
      </pivotArea>
    </chartFormat>
    <chartFormat chart="8" format="48" series="1">
      <pivotArea type="data" outline="0" fieldPosition="0">
        <references count="2">
          <reference field="4294967294" count="1" selected="0">
            <x v="0"/>
          </reference>
          <reference field="15" count="1" selected="0">
            <x v="4"/>
          </reference>
        </references>
      </pivotArea>
    </chartFormat>
    <chartFormat chart="0" format="16"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499BB2-ACFF-426D-B23D-6FA70E290A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8">
  <location ref="A3:B9" firstHeaderRow="1" firstDataRow="1" firstDataCol="1" rowPageCount="1" colPageCount="1"/>
  <pivotFields count="59">
    <pivotField showAll="0"/>
    <pivotField axis="axisRow" dataField="1" showAll="0">
      <items count="6">
        <item x="0"/>
        <item x="1"/>
        <item x="4"/>
        <item x="3"/>
        <item x="2"/>
        <item t="default"/>
      </items>
    </pivotField>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1">
    <pageField fld="7" item="0" hier="-1"/>
  </pageFields>
  <dataFields count="1">
    <dataField name="Count of Age_Group" fld="1" subtotal="count"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7517A8-DDB8-4EB4-A82A-B00C7B0E7D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7">
  <location ref="A3:B9" firstHeaderRow="1" firstDataRow="1" firstDataCol="1" rowPageCount="1" colPageCount="1"/>
  <pivotFields count="59">
    <pivotField showAll="0"/>
    <pivotField showAll="0"/>
    <pivotField showAll="0"/>
    <pivotField axis="axisRow" dataField="1" showAll="0">
      <items count="6">
        <item x="3"/>
        <item x="0"/>
        <item x="1"/>
        <item x="2"/>
        <item x="4"/>
        <item t="default"/>
      </items>
    </pivotField>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pageFields count="1">
    <pageField fld="7" item="1" hier="-1"/>
  </pageFields>
  <dataFields count="1">
    <dataField name="Count of Education" fld="3"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44CADD-995D-454D-9AF9-6C4EB937C9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5">
  <location ref="A3:B9" firstHeaderRow="1" firstDataRow="1" firstDataCol="1" rowPageCount="1" colPageCount="1"/>
  <pivotFields count="59">
    <pivotField showAll="0"/>
    <pivotField showAll="0"/>
    <pivotField showAll="0"/>
    <pivotField showAll="0"/>
    <pivotField axis="axisRow" dataField="1" showAll="0">
      <items count="6">
        <item x="0"/>
        <item x="2"/>
        <item x="1"/>
        <item x="3"/>
        <item x="4"/>
        <item t="default"/>
      </items>
    </pivotField>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pageFields count="1">
    <pageField fld="7" item="1" hier="-1"/>
  </pageFields>
  <dataFields count="1">
    <dataField name="Count of Occupation" fld="4" subtotal="count" showDataAs="percentOfTotal" baseField="4" baseItem="1"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314221-B923-4544-A5F1-C45F6C7675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7">
  <location ref="A3:B9" firstHeaderRow="1" firstDataRow="1" firstDataCol="1" rowPageCount="1" colPageCount="1"/>
  <pivotFields count="59">
    <pivotField showAll="0"/>
    <pivotField showAll="0"/>
    <pivotField showAll="0"/>
    <pivotField showAll="0"/>
    <pivotField showAll="0"/>
    <pivotField axis="axisRow" dataField="1" showAll="0">
      <items count="6">
        <item x="4"/>
        <item x="2"/>
        <item x="1"/>
        <item x="3"/>
        <item x="0"/>
        <item t="default"/>
      </items>
    </pivotField>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pageFields count="1">
    <pageField fld="7" item="1" hier="-1"/>
  </pageFields>
  <dataFields count="1">
    <dataField name="Count of Income" fld="5"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d_QC1" xr10:uid="{7D553479-2706-44A8-BB94-625B1412BE35}" sourceName="Used_QC">
  <pivotTables>
    <pivotTable tabId="8" name="PivotTable6"/>
    <pivotTable tabId="19" name="PivotTable7"/>
    <pivotTable tabId="18" name="PivotTable6"/>
    <pivotTable tabId="17" name="PivotTable5"/>
    <pivotTable tabId="14" name="PivotTable3"/>
    <pivotTable tabId="10" name="PivotTable8"/>
    <pivotTable tabId="13" name="PivotTable2"/>
    <pivotTable tabId="15" name="PivotTable4"/>
    <pivotTable tabId="8" name="PivotTable2"/>
  </pivotTables>
  <data>
    <tabular pivotCacheId="1136481260">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Used" xr10:uid="{CEFE74BE-ED29-4486-97A1-BE548524C876}" sourceName="App_Used">
  <pivotTables>
    <pivotTable tabId="8" name="PivotTable6"/>
    <pivotTable tabId="19" name="PivotTable7"/>
    <pivotTable tabId="18" name="PivotTable6"/>
    <pivotTable tabId="17" name="PivotTable5"/>
    <pivotTable tabId="22" name="PivotTable1"/>
    <pivotTable tabId="8" name="PivotTable2"/>
  </pivotTables>
  <data>
    <tabular pivotCacheId="1136481260">
      <items count="5">
        <i x="0" s="1"/>
        <i x="4" s="1"/>
        <i x="2" s="1"/>
        <i x="3" s="1"/>
        <i x="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d_QC 1" xr10:uid="{62DB836B-7D31-4832-A9E1-FA03F6708964}" cache="Slicer_Used_QC1" caption="Used QC" rowHeight="251883"/>
  <slicer name="App_Used" xr10:uid="{717D8BCE-1422-4ED5-99AC-0343E8C9B7E7}" cache="Slicer_App_Used" caption="App Use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d_QC" xr10:uid="{CE29F787-2A09-4871-9CE0-F0262766E0D6}" cache="Slicer_Used_QC1" caption="Q-commerce Usage" style="SlicerStyleDark4"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BF176-0730-459F-9F7A-278FFD3C2E08}" name="Table1" displayName="Table1" ref="A2:BH343" headerRowDxfId="3">
  <autoFilter ref="A2:BH343" xr:uid="{6C1BF176-0730-459F-9F7A-278FFD3C2E08}"/>
  <tableColumns count="60">
    <tableColumn id="1" xr3:uid="{001129A4-15D8-4BF0-84AE-FD00D14DF99E}" name="Age" totalsRowLabel="Total"/>
    <tableColumn id="2" xr3:uid="{CC7B5A70-FF5A-4B29-9841-E5B2FD097504}" name="Age_Group">
      <calculatedColumnFormula array="1">_xlfn.IFS(A3&lt;=25,"18-25",A3&lt;=33,"26-33",A3&lt;=41,"34-41",A3&lt;=49,"42-49",A3&gt;49,"50 or above")</calculatedColumnFormula>
    </tableColumn>
    <tableColumn id="3" xr3:uid="{1D73F3FB-4783-4326-876F-3A210DA32CC3}" name="Gender"/>
    <tableColumn id="4" xr3:uid="{F5CC7910-6947-4A59-A8D5-03CB016379E4}" name="Education"/>
    <tableColumn id="5" xr3:uid="{FC3BC3F4-8878-4CA7-8AAF-1942DA9F2D42}" name="Occupation"/>
    <tableColumn id="6" xr3:uid="{3262C32D-1E84-4A19-AA06-F021B13FBE70}" name="Income"/>
    <tableColumn id="7" xr3:uid="{D5094471-5450-47DD-AD29-16C21450A88B}" name="Aware_QC"/>
    <tableColumn id="8" xr3:uid="{FE638783-5913-46A5-8FC8-A50C5A8AA0D0}" name="Used_QC"/>
    <tableColumn id="9" xr3:uid="{734567B6-BC77-4C6A-A93E-60DE2F0ED83F}" name="Adoption_Status"/>
    <tableColumn id="10" xr3:uid="{81628BF5-7966-4EEC-865A-C3A5917EFCB7}" name="App_usex1"/>
    <tableColumn id="11" xr3:uid="{E1780DA5-93BE-426C-9FCF-BD505AD741A5}" name="App_usex2"/>
    <tableColumn id="12" xr3:uid="{0B22B8D9-E82F-4730-A9AF-0B195D6A02D9}" name="App_usex3"/>
    <tableColumn id="13" xr3:uid="{0B6C1CAA-4E08-43ED-A866-52EC233EE427}" name="App_usex4"/>
    <tableColumn id="14" xr3:uid="{1E82573C-659E-4C20-9942-85E85BAD5AB3}" name="App_usex5"/>
    <tableColumn id="15" xr3:uid="{8A7BE159-EB93-4AC3-9C25-E42CDB83789E}" name="App_usex6"/>
    <tableColumn id="16" xr3:uid="{8E4A5369-DECB-4027-A858-3A819235ED49}" name="App_Used"/>
    <tableColumn id="17" xr3:uid="{EFF0C9F1-9A99-48C0-8E44-C0114EC42C2C}" name="How long have you been using Q-Commerce apps?"/>
    <tableColumn id="18" xr3:uid="{333FCC78-0001-409C-B3CC-7FD59AFF9E4E}" name="average order value"/>
    <tableColumn id="19" xr3:uid="{410731DF-F13D-4A2A-99AF-1B624DCEA21F}" name="preferred delivery time"/>
    <tableColumn id="20" xr3:uid="{A2A8264A-D05D-4275-AA50-6A0E5DD62EA9}" name="preferred payment method?"/>
    <tableColumn id="21" xr3:uid="{8D63B0BE-54EE-494F-BFFC-B846D726E4C3}" name="Col1"/>
    <tableColumn id="22" xr3:uid="{083E6EB6-7F2E-43A2-A909-362595DA77E3}" name="Col2"/>
    <tableColumn id="23" xr3:uid="{F5F9CC62-9957-45D7-A1AB-CFB58E0EF747}" name="Col3"/>
    <tableColumn id="24" xr3:uid="{CD3E9C16-3DDD-43C3-A91E-DBAF2B4B0458}" name="Col4"/>
    <tableColumn id="25" xr3:uid="{61B90FC5-F8E4-4F0A-A809-6A4E12655BFE}" name="Col5"/>
    <tableColumn id="60" xr3:uid="{30D40C07-50CB-4114-815F-E15A0DA5FCFA}" name="Items" dataDxfId="2">
      <calculatedColumnFormula>_xlfn.TEXTJOIN(",",TRUE,Table1[[#This Row],[Col5]],Table1[[#This Row],[Col4]],Table1[[#This Row],[Col3]],Table1[[#This Row],[Col2]],Table1[[#This Row],[Col1]])</calculatedColumnFormula>
    </tableColumn>
    <tableColumn id="26" xr3:uid="{F20F2934-4AC7-4B5C-B6BE-AEEFE17C2C99}" name="Q-commerce apps save my time"/>
    <tableColumn id="27" xr3:uid="{4944E2A4-888F-4B0C-B140-21A5911711DE}" name="Delivery speed is very convenient"/>
    <tableColumn id="28" xr3:uid="{E7CF38CB-E5E1-435D-A81C-F816C6CADDA5}" name="Discounts influence my usage"/>
    <tableColumn id="29" xr3:uid="{54135802-6FB0-46E8-B63F-F7511AE1CDA0}" name="Product variety meets my needs"/>
    <tableColumn id="30" xr3:uid="{FB9884F8-F005-4A84-A3D4-C3D3BB8FC638}" name="Promotional offers attract me"/>
    <tableColumn id="31" xr3:uid="{C385E516-45E8-4CAB-BE55-5BB88E00153B}" name="Apps are easy to navigate"/>
    <tableColumn id="32" xr3:uid="{697D4232-78D5-455E-B19B-81A5EDE263DC}" name="Urgent needs motivate me to use these apps"/>
    <tableColumn id="33" xr3:uid="{0A52DE78-9A0E-4C17-B000-7BE9E3ED42C2}" name="Product quality is reliable"/>
    <tableColumn id="34" xr3:uid="{70D3B3BB-07D7-48F9-BC91-C48C482C2E9F}" name="My work/study schedule makes offline shopping difficult"/>
    <tableColumn id="35" xr3:uid="{E386D94D-352B-482B-A3BE-8D5F386FE56A}" name="Q-commerce fits my lifestyle"/>
    <tableColumn id="36" xr3:uid="{5D71BD23-7507-42C7-B8F9-FEF76D86181F}" name="Overall satisfaction with Q-Commerce Apps"/>
    <tableColumn id="37" xr3:uid="{0D08A444-F3CC-4A8F-9E2B-5437E0B2295D}" name="Likelihood of continuing usage in the future"/>
    <tableColumn id="38" xr3:uid="{DB9BC31A-14F9-4D70-AD5E-7E94753A1909}" name="likely are you to recommend these apps to Others"/>
    <tableColumn id="39" xr3:uid="{4029B381-8DF0-4E33-B9FC-A2B1B6C05B2F}" name="biggest reason you prefer Q-commerce apps"/>
    <tableColumn id="40" xr3:uid="{91C977BC-E202-4697-A347-AF8039EF984A}" name="dont_usex1"/>
    <tableColumn id="41" xr3:uid="{98499C27-2FEF-4BAA-9651-28B00BD25493}" name="dont_usex2"/>
    <tableColumn id="42" xr3:uid="{B4E84576-9A30-4938-895E-5D956F53A2FB}" name="dont_usex3"/>
    <tableColumn id="43" xr3:uid="{6EB9F081-1FAE-4981-8588-F2543D4A1B21}" name="dont_usex4"/>
    <tableColumn id="44" xr3:uid="{2A8DAA44-61D5-4829-9EB5-579C3F2F1F3F}" name="dont_usex5"/>
    <tableColumn id="45" xr3:uid="{F22EC117-65E0-47E9-88D7-F203B364C061}" name="dont_usex6"/>
    <tableColumn id="46" xr3:uid="{C064BE3D-3B9A-4CEB-A142-04B6F5715291}" name="dont_usex7"/>
    <tableColumn id="47" xr3:uid="{2FFEA015-3845-43A4-88C7-3C43274BCE7D}" name="dont_usex8"/>
    <tableColumn id="48" xr3:uid="{79D710C1-0D88-4CCE-BADF-00E8F7EB9E81}" name="dont_usex9"/>
    <tableColumn id="49" xr3:uid="{D796AAE0-3C15-4672-B495-21BFE5464C86}" name="dont_usex10"/>
    <tableColumn id="50" xr3:uid="{5696D946-9275-4CE3-92AD-15F760950DF7}" name="Do you find Q-Commerce apps reliable?"/>
    <tableColumn id="51" xr3:uid="{E2EAA922-5673-4AFC-827A-A2B424DCC09E}" name="Are you willing to try Q-Commerce apps in the future?"/>
    <tableColumn id="52" xr3:uid="{E31F0CD5-9C61-4307-8236-EF9EBD2481C7}" name="Does anyone in your family use Q-Commerce Apps?"/>
    <tableColumn id="53" xr3:uid="{C4A446AA-FCB6-4502-B551-2D2E581C1326}" name="I would consider using Q-commerce if delivery charges were lower"/>
    <tableColumn id="54" xr3:uid="{867A3284-85BB-426F-B27E-50512FFD7DC6}" name="I would consider using Q-commerce apps if product quality were guaranteed"/>
    <tableColumn id="55" xr3:uid="{37858924-1ECE-479C-BDA9-A74AB09123F0}" name="I would consider using Q-commerce apps if adequate guidance on app usage were provided"/>
    <tableColumn id="56" xr3:uid="{7E0B4E88-D0CB-454D-9FDB-361AA0AA3518}" name="I would consider using Q-commerce apps if prices were competitive"/>
    <tableColumn id="57" xr3:uid="{A79D544C-36A4-442A-93FE-C4FB5D04161D}" name="I would consider using Q-commerce apps if delivery services were available in my area"/>
    <tableColumn id="58" xr3:uid="{D6FCB065-12B5-489F-9B9E-B233BBAE927E}" name="I would consider using Q-commerce apps if attractive discounts were offered"/>
    <tableColumn id="59" xr3:uid="{530B0B32-D327-46BD-9E63-0AC1E851E9F6}" name="I would consider using Q-commerce apps if I felt confident about trust, data security, and privacy." totalsRowFunction="count"/>
  </tableColumns>
  <tableStyleInfo name="TableStyleLight12"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DCC23C-FF96-4018-82AF-2160E556A5F4}" name="Table13" displayName="Table13" ref="A2:BG230" headerRowDxfId="1">
  <autoFilter ref="A2:BG230" xr:uid="{E2DCC23C-FF96-4018-82AF-2160E556A5F4}"/>
  <tableColumns count="59">
    <tableColumn id="1" xr3:uid="{281716BC-9C3B-4EF8-AA9C-BAF8236BF83E}" name="Age" totalsRowLabel="Total"/>
    <tableColumn id="2" xr3:uid="{DE356E51-7F6B-4462-8656-366ACBA5C63C}" name="Age_Group">
      <calculatedColumnFormula array="1">_xlfn.IFS(A3&lt;=25,"18-25",A3&lt;=33,"26-33",A3&lt;=41,"34-41",A3&lt;=49,"42-49",A3&gt;49,"50 or above")</calculatedColumnFormula>
    </tableColumn>
    <tableColumn id="3" xr3:uid="{C3014D78-6824-4FAD-A3B6-3ED630CC9C66}" name="Gender"/>
    <tableColumn id="4" xr3:uid="{962592B2-4978-4AB5-A707-726ECB77C000}" name="Education"/>
    <tableColumn id="5" xr3:uid="{C4771496-3E6F-4829-A567-B4F045100E0D}" name="Occupation"/>
    <tableColumn id="6" xr3:uid="{700DEF96-88DC-4C40-89D3-508DB4E1153F}" name="Income"/>
    <tableColumn id="7" xr3:uid="{1447E0FE-5F8E-486A-9943-C034EC5ED358}" name="Aware_QC"/>
    <tableColumn id="8" xr3:uid="{5D0689F6-B044-4F6C-90CD-9FFE88B13AE2}" name="Used_QC"/>
    <tableColumn id="9" xr3:uid="{AEEDD99A-77F4-4698-A8EE-885B08C1D140}" name="Adoption_Status"/>
    <tableColumn id="10" xr3:uid="{67E6F118-4E1E-4C96-B38B-BDA929FD7EFD}" name="Column1"/>
    <tableColumn id="11" xr3:uid="{3E6F1DBA-77B6-46D1-A2E5-F16A1F2FDCB2}" name="Column2"/>
    <tableColumn id="12" xr3:uid="{C30E4D16-8311-4EC4-9A26-6854A7A9FCDB}" name="Column3"/>
    <tableColumn id="13" xr3:uid="{C70DE598-293A-4FD7-9CDF-D0ACE830B45F}" name="Column4"/>
    <tableColumn id="14" xr3:uid="{3E42C0C5-77A3-4961-A877-3891761F65F0}" name="Column5"/>
    <tableColumn id="15" xr3:uid="{365E9613-6B53-4609-8E05-A3543893CAE9}" name="Column6"/>
    <tableColumn id="16" xr3:uid="{6E033112-13B5-41C6-B993-0DC025D1B6EB}" name="App_Used"/>
    <tableColumn id="17" xr3:uid="{AEDF3737-6897-4445-9D2B-984D2DCF55C2}" name="How long have you been using Q-Commerce apps?"/>
    <tableColumn id="18" xr3:uid="{92B044F7-88BE-4EAE-BE72-87617F31F5CC}" name="average order value"/>
    <tableColumn id="19" xr3:uid="{C7A0BC0B-3498-417E-AF9A-95988DDC959C}" name="preferred delivery time"/>
    <tableColumn id="20" xr3:uid="{94209651-D979-43E3-B09C-D1CD9A1BB646}" name="preferred payment method?"/>
    <tableColumn id="21" xr3:uid="{6872F9B4-7FD6-44EE-8B22-9B7E2A562D6E}" name="Col1"/>
    <tableColumn id="22" xr3:uid="{5D130B72-A32A-4F0A-9FA2-F5AC052A5940}" name="Col2"/>
    <tableColumn id="23" xr3:uid="{F6A07D89-AC3E-4726-A0FE-166E030EAAC8}" name="Col3"/>
    <tableColumn id="24" xr3:uid="{FC047372-ED17-44B0-922B-F93FA8636C89}" name="Col4"/>
    <tableColumn id="25" xr3:uid="{74E88B96-DA6D-4AF8-8272-AB6F8D636837}" name="Col5"/>
    <tableColumn id="26" xr3:uid="{1A1977E3-3380-4AA4-A27A-C0E1EA99EA6C}" name="Q-commerce apps save my time"/>
    <tableColumn id="27" xr3:uid="{7570ED0C-6A1C-42CD-BCF8-B111C2707763}" name="Delivery speed is very convenient"/>
    <tableColumn id="28" xr3:uid="{F9A95D35-1D5D-46A8-9A49-E1FB7AB22DF9}" name="Discounts influence my usage"/>
    <tableColumn id="29" xr3:uid="{2DE435C4-C8FE-4695-A62A-43397312CCC8}" name="Product variety meets my needs"/>
    <tableColumn id="30" xr3:uid="{680AFF37-03A8-40C4-A2DF-A82D34EF5249}" name="Promotional offers attract me"/>
    <tableColumn id="31" xr3:uid="{4ECBD8D8-2CB3-44FD-BFA5-0553910AE3A6}" name="Apps are easy to navigate"/>
    <tableColumn id="32" xr3:uid="{CFD269DE-BB9F-4833-A2E3-BD94F81E07D0}" name="Urgent needs motivate me to use these apps"/>
    <tableColumn id="33" xr3:uid="{76E6B3AE-4C77-4405-B153-2E7309EAE48F}" name="Product quality is reliable"/>
    <tableColumn id="34" xr3:uid="{E762F6D4-FF06-4923-82B5-919987F55E18}" name="My work/study schedule makes offline shopping difficult"/>
    <tableColumn id="35" xr3:uid="{C19DBD56-4AC0-4692-89AF-CA230686044C}" name="Q-commerce fits my lifestyle"/>
    <tableColumn id="36" xr3:uid="{502AB45C-2ADC-44CC-9DA3-6396BE5BB1E0}" name="Overall satisfaction with Q-Commerce Apps"/>
    <tableColumn id="37" xr3:uid="{6DA0C51D-9AD2-4799-A4E2-D5D74326B9DD}" name="Likelihood of continuing usage in the future"/>
    <tableColumn id="38" xr3:uid="{E3A2BAD7-A057-42E6-B626-2DD1591D15E3}" name="likely are you to recommend these apps to Others"/>
    <tableColumn id="39" xr3:uid="{3A1AFD36-116C-4ED1-9A3B-8FB739F444F3}" name="biggest reason you prefer Q-commerce apps"/>
    <tableColumn id="40" xr3:uid="{C912C1E5-E899-4372-9E66-AA2C93E55E46}" name="1"/>
    <tableColumn id="41" xr3:uid="{4D919233-34A9-4D57-B769-87FF1318B676}" name="2"/>
    <tableColumn id="42" xr3:uid="{9F50B064-0169-44BA-B66D-E63A9F02F007}" name="3"/>
    <tableColumn id="43" xr3:uid="{1ED4EEA0-EE62-4127-8806-037E758D3675}" name="4"/>
    <tableColumn id="44" xr3:uid="{48E4E49D-6608-4054-97FD-88254B1137B2}" name="5"/>
    <tableColumn id="45" xr3:uid="{362F8AC7-C45F-4D88-BB0A-9CFF8EF9F8E4}" name="6"/>
    <tableColumn id="46" xr3:uid="{6BBE9CC0-BF24-4968-AE7B-57B0D067F6BA}" name="7"/>
    <tableColumn id="47" xr3:uid="{54CD816E-9E48-4DE3-A33F-8BB70AB98093}" name="8"/>
    <tableColumn id="48" xr3:uid="{581B4284-CBA5-48D6-A1BF-3EA64CF73021}" name="9"/>
    <tableColumn id="49" xr3:uid="{B7A9E758-05A8-4641-A3DE-D5CE3AFA6B86}" name="10"/>
    <tableColumn id="50" xr3:uid="{37D4704F-5AC5-40B3-BB6A-229D15081681}" name="Do you find Q-Commerce apps reliable?"/>
    <tableColumn id="51" xr3:uid="{61C2B2EC-A18E-40AA-905A-B658C4832772}" name="Are you willing to try Q-Commerce apps in the future?"/>
    <tableColumn id="52" xr3:uid="{955546E9-EAFC-46E6-9DDA-419A45BB88B0}" name="Does anyone in your family use Q-Commerce Apps?"/>
    <tableColumn id="53" xr3:uid="{8DCB9C03-6A1A-491C-BF82-4924589E9F01}" name="I would consider using Q-commerce if delivery charges were lower"/>
    <tableColumn id="54" xr3:uid="{D5B48E4D-682F-4091-96A2-1D6E56C78C13}" name="I would consider using Q-commerce apps if product quality were guaranteed"/>
    <tableColumn id="55" xr3:uid="{D7E4AAE0-D912-4E29-B764-13FF2A48739D}" name="I would consider using Q-commerce apps if adequate guidance on app usage were provided"/>
    <tableColumn id="56" xr3:uid="{9E41B5CF-0ED5-43E7-BE8E-DCA43D0B0444}" name="I would consider using Q-commerce apps if prices were competitive"/>
    <tableColumn id="57" xr3:uid="{43B0BEF2-74AE-45D6-8D37-E152D245E006}" name="I would consider using Q-commerce apps if delivery services were available in my area"/>
    <tableColumn id="58" xr3:uid="{215FE255-6CE4-4340-BB42-AEB3BD9144A6}" name="I would consider using Q-commerce apps if attractive discounts were offered"/>
    <tableColumn id="59" xr3:uid="{3DE9B4C8-D1AC-48FA-A471-0715D67FD7A6}" name="I would consider using Q-commerce apps if I felt confident about trust, data security, and privacy." totalsRowFunction="count"/>
  </tableColumns>
  <tableStyleInfo name="TableStyleLight12" showFirstColumn="0" showLastColumn="0" showRowStripes="0"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0E89CB-3EE6-4CD5-ACB7-A5707D04469E}" name="Table14" displayName="Table14" ref="A2:BG115" headerRowDxfId="0">
  <autoFilter ref="A2:BG115" xr:uid="{E60E89CB-3EE6-4CD5-ACB7-A5707D04469E}"/>
  <tableColumns count="59">
    <tableColumn id="1" xr3:uid="{B5B944EB-A04C-4B89-9ED0-1B203EFA2EC7}" name="Age" totalsRowLabel="Total"/>
    <tableColumn id="2" xr3:uid="{3B923348-ABEC-4D13-8361-39C179356D6D}" name="Age_Group">
      <calculatedColumnFormula array="1">_xlfn.IFS(A3&lt;=25,"18-25",A3&lt;=33,"26-33",A3&lt;=41,"34-41",A3&lt;=49,"42-49",A3&gt;49,"50 or above")</calculatedColumnFormula>
    </tableColumn>
    <tableColumn id="3" xr3:uid="{9423BCEC-1808-41D8-9E1A-46C92820DD83}" name="Gender"/>
    <tableColumn id="4" xr3:uid="{25B0BCAD-757B-4DDE-9D5E-15582A3B3123}" name="Education"/>
    <tableColumn id="5" xr3:uid="{3599BFA7-BB9F-46D5-B33B-C7BDB9506309}" name="Occupation"/>
    <tableColumn id="6" xr3:uid="{1DF02CE0-60E1-4AA5-8132-11E23BE12A0A}" name="Income"/>
    <tableColumn id="7" xr3:uid="{CEF4EEA4-F34F-4D8B-B568-2EA07BED0059}" name="Aware_QC"/>
    <tableColumn id="8" xr3:uid="{5938F5E6-7A26-4B9A-BA4D-A2C4D0B6B217}" name="Used_QC"/>
    <tableColumn id="9" xr3:uid="{50A98F97-D55D-4E88-97DE-ADB9F705012E}" name="Adoption_Status"/>
    <tableColumn id="10" xr3:uid="{3A9AB9F6-0356-4331-AAE6-5FE6D098A8E7}" name="Column1"/>
    <tableColumn id="11" xr3:uid="{55763262-7128-419B-BFB3-798C5C2BBAB4}" name="Column2"/>
    <tableColumn id="12" xr3:uid="{716F0809-5D04-43BF-88DA-F05A372667CF}" name="Column3"/>
    <tableColumn id="13" xr3:uid="{B03D96E9-72E2-4143-BC06-E65D2AECF991}" name="Column4"/>
    <tableColumn id="14" xr3:uid="{983E644D-BEE9-439B-83BC-7CAA50277430}" name="Column5"/>
    <tableColumn id="15" xr3:uid="{652ABC44-C104-4A84-BD8A-DA75C362CF75}" name="Column6"/>
    <tableColumn id="16" xr3:uid="{CA1BE2AE-17AA-4692-BA2C-C8FA07A5D167}" name="App_Used"/>
    <tableColumn id="17" xr3:uid="{AC61921C-5A59-4203-9CCF-B47B92BF30F9}" name="How long have you been using Q-Commerce apps?"/>
    <tableColumn id="18" xr3:uid="{22267588-3595-42D0-B575-9B1E00917055}" name="average order value"/>
    <tableColumn id="19" xr3:uid="{D553DB7F-5ABF-40BF-B278-AD70199566F5}" name="preferred delivery time"/>
    <tableColumn id="20" xr3:uid="{26B25C00-6AB5-46DB-814B-54389DB5C474}" name="preferred payment method?"/>
    <tableColumn id="21" xr3:uid="{03A826E4-0664-4A86-A61F-E13448017249}" name="Col1"/>
    <tableColumn id="22" xr3:uid="{16512CC6-E45F-419C-948B-0E9E6643C71F}" name="Col2"/>
    <tableColumn id="23" xr3:uid="{EEE7AF49-D3F6-4C73-9EFD-764F65C0F1B1}" name="Col3"/>
    <tableColumn id="24" xr3:uid="{4B9076A6-3E9D-44AA-A88F-94C8339F60CF}" name="Col4"/>
    <tableColumn id="25" xr3:uid="{E8115469-395A-4A96-8ED0-1F1204CB24C4}" name="Col5"/>
    <tableColumn id="26" xr3:uid="{23537A48-49D5-4BF2-A65D-7D2B0AFD395D}" name="Q-commerce apps save my time"/>
    <tableColumn id="27" xr3:uid="{5CB1B0E0-C4BE-4E69-B098-27EC7F15A626}" name="Delivery speed is very convenient"/>
    <tableColumn id="28" xr3:uid="{E5B24635-C24A-4227-BDFE-4E8764DC7A07}" name="Discounts influence my usage"/>
    <tableColumn id="29" xr3:uid="{2242801C-B9A0-4F9E-A494-37BF35AE9313}" name="Product variety meets my needs"/>
    <tableColumn id="30" xr3:uid="{48DDA512-2B15-4D8E-BA74-02ABBFB5D211}" name="Promotional offers attract me"/>
    <tableColumn id="31" xr3:uid="{5848C647-B07A-41CB-91B8-CA2CD06F7009}" name="Apps are easy to navigate"/>
    <tableColumn id="32" xr3:uid="{5EB93ECD-B25E-4682-9324-F6AF36235405}" name="Urgent needs motivate me to use these apps"/>
    <tableColumn id="33" xr3:uid="{D525BDBB-FFB6-4C23-8542-4B39B69AD473}" name="Product quality is reliable"/>
    <tableColumn id="34" xr3:uid="{4C3B99F1-89A9-466D-8757-95C0677A1A23}" name="My work/study schedule makes offline shopping difficult"/>
    <tableColumn id="35" xr3:uid="{06028509-2FB0-4692-BD6F-E38B3A4A3767}" name="Q-commerce fits my lifestyle"/>
    <tableColumn id="36" xr3:uid="{810D7959-754C-4B71-8B09-44D4C871B9B6}" name="Overall satisfaction with Q-Commerce Apps"/>
    <tableColumn id="37" xr3:uid="{B317E77A-65CC-47DC-B589-2BC9CBE79485}" name="Likelihood of continuing usage in the future"/>
    <tableColumn id="38" xr3:uid="{F5DEF3D9-D8A1-4F10-8B1B-B208EB0F37F3}" name="likely are you to recommend these apps to Others"/>
    <tableColumn id="39" xr3:uid="{C97CE07C-071F-4CDF-A3BA-7DA80469090B}" name="biggest reason you prefer Q-commerce apps"/>
    <tableColumn id="40" xr3:uid="{DAB4A222-541A-40BB-9783-65B061A392C0}" name="1"/>
    <tableColumn id="41" xr3:uid="{2F2BD081-2192-43C1-903C-32BBB3029012}" name="2"/>
    <tableColumn id="42" xr3:uid="{AA12CA44-7733-449B-84EC-A028F33C1DB5}" name="3"/>
    <tableColumn id="43" xr3:uid="{D212CCA1-B414-4FD0-A158-F915BA34CB2C}" name="4"/>
    <tableColumn id="44" xr3:uid="{0AFFEA88-856C-4B3A-80C2-EDD1A0C60683}" name="5"/>
    <tableColumn id="45" xr3:uid="{93BD0C28-226F-4FB8-A953-47ED101896CE}" name="6"/>
    <tableColumn id="46" xr3:uid="{CAF79C6B-8699-49E0-A188-54823B44A4E5}" name="7"/>
    <tableColumn id="47" xr3:uid="{1BA13F72-2712-4712-AA3E-8B7452A5C30F}" name="8"/>
    <tableColumn id="48" xr3:uid="{BCCE5638-1B9D-4456-9C72-E9C10C779540}" name="9"/>
    <tableColumn id="49" xr3:uid="{49A4C555-8361-434D-9F81-22064ACCF429}" name="10"/>
    <tableColumn id="50" xr3:uid="{B1596D18-76BB-42FA-A716-AFFE2784F8BF}" name="Do you find Q-Commerce apps reliable?"/>
    <tableColumn id="51" xr3:uid="{3936468F-771D-4E0A-96F7-B202ECE433C2}" name="Are you willing to try Q-Commerce apps in the future?"/>
    <tableColumn id="52" xr3:uid="{6B7B957E-68B9-4B3A-BBBC-E09F2A071D24}" name="Does anyone in your family use Q-Commerce Apps?"/>
    <tableColumn id="53" xr3:uid="{E5CCD748-ACE2-4F49-881F-DBBC05D07529}" name="I would consider using Q-commerce if delivery charges were lower"/>
    <tableColumn id="54" xr3:uid="{33FBCED7-ED5C-4199-90F7-44D1F5CA43D3}" name="I would consider using Q-commerce apps if product quality were guaranteed"/>
    <tableColumn id="55" xr3:uid="{2464AFE6-6D5F-4AC5-9F12-83DDA044C657}" name="I would consider using Q-commerce apps if adequate guidance on app usage were provided"/>
    <tableColumn id="56" xr3:uid="{CE35A277-08F4-482E-BE36-03FDCA436D3D}" name="I would consider using Q-commerce apps if prices were competitive"/>
    <tableColumn id="57" xr3:uid="{4177C4FF-AAAB-425E-AC46-BA1DEDB4BF8B}" name="I would consider using Q-commerce apps if delivery services were available in my area"/>
    <tableColumn id="58" xr3:uid="{AF0B2063-A049-4138-9B18-5D9E2708B330}" name="I would consider using Q-commerce apps if attractive discounts were offered"/>
    <tableColumn id="59" xr3:uid="{33011369-7649-4F94-ABE3-C94F6CA9ECA7}" name="I would consider using Q-commerce apps if I felt confident about trust, data security, and privacy." totalsRowFunction="count"/>
  </tableColumns>
  <tableStyleInfo name="TableStyleLight12"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663E-624C-4389-BB98-E540D6BE23A3}">
  <dimension ref="A1:BH343"/>
  <sheetViews>
    <sheetView tabSelected="1" topLeftCell="AS1" workbookViewId="0">
      <selection activeCell="AX3" sqref="AX3"/>
    </sheetView>
  </sheetViews>
  <sheetFormatPr defaultRowHeight="14.5" x14ac:dyDescent="0.35"/>
  <cols>
    <col min="1" max="1" width="6.08984375" bestFit="1" customWidth="1"/>
    <col min="2" max="2" width="12" bestFit="1" customWidth="1"/>
    <col min="3" max="3" width="13.90625" bestFit="1" customWidth="1"/>
    <col min="4" max="4" width="17.7265625" bestFit="1" customWidth="1"/>
    <col min="5" max="5" width="17.81640625" bestFit="1" customWidth="1"/>
    <col min="6" max="6" width="17" bestFit="1" customWidth="1"/>
    <col min="7" max="7" width="11.54296875" bestFit="1" customWidth="1"/>
    <col min="8" max="8" width="10.7265625" bestFit="1" customWidth="1"/>
    <col min="9" max="9" width="16.90625" bestFit="1" customWidth="1"/>
    <col min="10" max="11" width="10.7265625" bestFit="1" customWidth="1"/>
    <col min="12" max="12" width="14.81640625" bestFit="1" customWidth="1"/>
    <col min="13" max="15" width="10.7265625" bestFit="1" customWidth="1"/>
    <col min="16" max="16" width="14.453125" bestFit="1" customWidth="1"/>
    <col min="17" max="17" width="45.36328125" bestFit="1" customWidth="1"/>
    <col min="18" max="18" width="19.36328125" bestFit="1" customWidth="1"/>
    <col min="19" max="19" width="22.1796875" bestFit="1" customWidth="1"/>
    <col min="20" max="20" width="26.54296875" bestFit="1" customWidth="1"/>
    <col min="21" max="21" width="9.08984375" bestFit="1" customWidth="1"/>
    <col min="22" max="22" width="19.26953125" bestFit="1" customWidth="1"/>
    <col min="23" max="23" width="13.90625" bestFit="1" customWidth="1"/>
    <col min="24" max="24" width="12.54296875" bestFit="1" customWidth="1"/>
    <col min="25" max="25" width="9.453125" bestFit="1" customWidth="1"/>
    <col min="26" max="26" width="61.453125" bestFit="1" customWidth="1"/>
    <col min="27" max="27" width="30" bestFit="1" customWidth="1"/>
    <col min="28" max="28" width="31.08984375" bestFit="1" customWidth="1"/>
    <col min="29" max="29" width="28.453125" bestFit="1" customWidth="1"/>
    <col min="30" max="30" width="29.90625" bestFit="1" customWidth="1"/>
    <col min="31" max="31" width="27.7265625" bestFit="1" customWidth="1"/>
    <col min="32" max="32" width="24.1796875" bestFit="1" customWidth="1"/>
    <col min="33" max="33" width="40.26953125" bestFit="1" customWidth="1"/>
    <col min="34" max="34" width="24.6328125" bestFit="1" customWidth="1"/>
    <col min="35" max="35" width="51" bestFit="1" customWidth="1"/>
    <col min="36" max="36" width="27.26953125" bestFit="1" customWidth="1"/>
    <col min="37" max="37" width="39.90625" bestFit="1" customWidth="1"/>
    <col min="38" max="38" width="39.54296875" bestFit="1" customWidth="1"/>
    <col min="39" max="39" width="44.54296875" bestFit="1" customWidth="1"/>
    <col min="40" max="40" width="40.08984375" bestFit="1" customWidth="1"/>
    <col min="41" max="42" width="21.453125" bestFit="1" customWidth="1"/>
    <col min="43" max="43" width="20.54296875" bestFit="1" customWidth="1"/>
    <col min="44" max="44" width="26.1796875" bestFit="1" customWidth="1"/>
    <col min="45" max="45" width="22.08984375" bestFit="1" customWidth="1"/>
    <col min="46" max="46" width="23.453125" bestFit="1" customWidth="1"/>
    <col min="47" max="47" width="25.90625" bestFit="1" customWidth="1"/>
    <col min="48" max="48" width="33.1796875" bestFit="1" customWidth="1"/>
    <col min="49" max="49" width="31.36328125" bestFit="1" customWidth="1"/>
    <col min="50" max="50" width="11.36328125" bestFit="1" customWidth="1"/>
    <col min="51" max="51" width="36.54296875" bestFit="1" customWidth="1"/>
    <col min="52" max="52" width="47.7265625" bestFit="1" customWidth="1"/>
    <col min="53" max="53" width="46.36328125" bestFit="1" customWidth="1"/>
    <col min="54" max="54" width="58.54296875" bestFit="1" customWidth="1"/>
    <col min="55" max="55" width="67.26953125" bestFit="1" customWidth="1"/>
    <col min="56" max="56" width="80" bestFit="1" customWidth="1"/>
    <col min="57" max="57" width="60.1796875" bestFit="1" customWidth="1"/>
    <col min="58" max="58" width="75.7265625" bestFit="1" customWidth="1"/>
    <col min="59" max="59" width="67.7265625" bestFit="1" customWidth="1"/>
    <col min="60" max="60" width="85.26953125" bestFit="1" customWidth="1"/>
  </cols>
  <sheetData>
    <row r="1" spans="1:60" s="1" customFormat="1" x14ac:dyDescent="0.35">
      <c r="A1" s="1">
        <f>COUNT(A3:A343)</f>
        <v>341</v>
      </c>
      <c r="J1" s="9" t="s">
        <v>0</v>
      </c>
      <c r="K1" s="9"/>
      <c r="L1" s="9"/>
      <c r="M1" s="9"/>
      <c r="N1" s="9"/>
      <c r="O1" s="9"/>
      <c r="U1" s="9" t="s">
        <v>1</v>
      </c>
      <c r="V1" s="9"/>
      <c r="W1" s="9"/>
      <c r="X1" s="9"/>
      <c r="Y1" s="9"/>
      <c r="Z1" s="7"/>
      <c r="AO1" s="9" t="s">
        <v>2</v>
      </c>
      <c r="AP1" s="9"/>
      <c r="AQ1" s="9"/>
      <c r="AR1" s="9"/>
      <c r="AS1" s="9"/>
      <c r="AT1" s="9"/>
      <c r="AU1" s="9"/>
      <c r="AV1" s="9"/>
      <c r="AW1" s="9"/>
      <c r="AX1" s="9"/>
    </row>
    <row r="2" spans="1:60" s="1" customFormat="1" x14ac:dyDescent="0.35">
      <c r="A2" s="1" t="s">
        <v>3</v>
      </c>
      <c r="B2" s="1" t="s">
        <v>4</v>
      </c>
      <c r="C2" s="1" t="s">
        <v>5</v>
      </c>
      <c r="D2" s="1" t="s">
        <v>6</v>
      </c>
      <c r="E2" s="1" t="s">
        <v>7</v>
      </c>
      <c r="F2" s="1" t="s">
        <v>8</v>
      </c>
      <c r="G2" s="1" t="s">
        <v>9</v>
      </c>
      <c r="H2" s="1" t="s">
        <v>10</v>
      </c>
      <c r="I2" s="1" t="s">
        <v>11</v>
      </c>
      <c r="J2" s="8" t="s">
        <v>172</v>
      </c>
      <c r="K2" s="8" t="s">
        <v>173</v>
      </c>
      <c r="L2" s="8" t="s">
        <v>174</v>
      </c>
      <c r="M2" s="8" t="s">
        <v>175</v>
      </c>
      <c r="N2" s="8" t="s">
        <v>176</v>
      </c>
      <c r="O2" s="8" t="s">
        <v>177</v>
      </c>
      <c r="P2" s="1" t="s">
        <v>18</v>
      </c>
      <c r="Q2" s="1" t="s">
        <v>19</v>
      </c>
      <c r="R2" s="1" t="s">
        <v>20</v>
      </c>
      <c r="S2" s="1" t="s">
        <v>21</v>
      </c>
      <c r="T2" s="1" t="s">
        <v>22</v>
      </c>
      <c r="U2" s="1" t="s">
        <v>23</v>
      </c>
      <c r="V2" s="1" t="s">
        <v>24</v>
      </c>
      <c r="W2" s="1" t="s">
        <v>25</v>
      </c>
      <c r="X2" s="1" t="s">
        <v>26</v>
      </c>
      <c r="Y2" s="1" t="s">
        <v>27</v>
      </c>
      <c r="Z2" s="1" t="s">
        <v>178</v>
      </c>
      <c r="AA2" s="1" t="s">
        <v>28</v>
      </c>
      <c r="AB2" s="1" t="s">
        <v>29</v>
      </c>
      <c r="AC2" s="1" t="s">
        <v>30</v>
      </c>
      <c r="AD2" s="1" t="s">
        <v>31</v>
      </c>
      <c r="AE2" s="1" t="s">
        <v>32</v>
      </c>
      <c r="AF2" s="1" t="s">
        <v>33</v>
      </c>
      <c r="AG2" s="1" t="s">
        <v>34</v>
      </c>
      <c r="AH2" s="1" t="s">
        <v>35</v>
      </c>
      <c r="AI2" s="1" t="s">
        <v>36</v>
      </c>
      <c r="AJ2" s="1" t="s">
        <v>37</v>
      </c>
      <c r="AK2" s="1" t="s">
        <v>38</v>
      </c>
      <c r="AL2" s="1" t="s">
        <v>39</v>
      </c>
      <c r="AM2" s="1" t="s">
        <v>40</v>
      </c>
      <c r="AN2" s="1" t="s">
        <v>41</v>
      </c>
      <c r="AO2" s="8" t="s">
        <v>179</v>
      </c>
      <c r="AP2" s="8" t="s">
        <v>180</v>
      </c>
      <c r="AQ2" s="8" t="s">
        <v>181</v>
      </c>
      <c r="AR2" s="8" t="s">
        <v>182</v>
      </c>
      <c r="AS2" s="8" t="s">
        <v>183</v>
      </c>
      <c r="AT2" s="8" t="s">
        <v>184</v>
      </c>
      <c r="AU2" s="8" t="s">
        <v>185</v>
      </c>
      <c r="AV2" s="8" t="s">
        <v>186</v>
      </c>
      <c r="AW2" s="8" t="s">
        <v>187</v>
      </c>
      <c r="AX2" s="8" t="s">
        <v>188</v>
      </c>
      <c r="AY2" s="1" t="s">
        <v>52</v>
      </c>
      <c r="AZ2" s="1" t="s">
        <v>53</v>
      </c>
      <c r="BA2" s="1" t="s">
        <v>54</v>
      </c>
      <c r="BB2" s="1" t="s">
        <v>55</v>
      </c>
      <c r="BC2" s="1" t="s">
        <v>56</v>
      </c>
      <c r="BD2" s="1" t="s">
        <v>57</v>
      </c>
      <c r="BE2" s="1" t="s">
        <v>58</v>
      </c>
      <c r="BF2" s="1" t="s">
        <v>59</v>
      </c>
      <c r="BG2" s="1" t="s">
        <v>60</v>
      </c>
      <c r="BH2" s="1" t="s">
        <v>61</v>
      </c>
    </row>
    <row r="3" spans="1:60" x14ac:dyDescent="0.35">
      <c r="A3">
        <v>22</v>
      </c>
      <c r="B3" t="str" cm="1">
        <f t="array" ref="B3">_xlfn.IFS(A3&lt;=25,"18-25",A3&lt;=33,"26-33",A3&lt;=41,"34-41",A3&lt;=49,"42-49",A3&gt;49,"50 or above")</f>
        <v>18-25</v>
      </c>
      <c r="C3" t="s">
        <v>62</v>
      </c>
      <c r="D3" t="s">
        <v>63</v>
      </c>
      <c r="E3" t="s">
        <v>64</v>
      </c>
      <c r="F3" t="s">
        <v>65</v>
      </c>
      <c r="G3" t="s">
        <v>66</v>
      </c>
      <c r="H3" t="s">
        <v>66</v>
      </c>
      <c r="I3">
        <v>1</v>
      </c>
      <c r="J3" t="s">
        <v>67</v>
      </c>
      <c r="K3" t="s">
        <v>68</v>
      </c>
      <c r="L3" t="s">
        <v>69</v>
      </c>
      <c r="P3" t="s">
        <v>67</v>
      </c>
      <c r="Q3" t="s">
        <v>70</v>
      </c>
      <c r="R3" t="s">
        <v>71</v>
      </c>
      <c r="S3" t="s">
        <v>72</v>
      </c>
      <c r="T3" t="s">
        <v>73</v>
      </c>
      <c r="U3" t="s">
        <v>74</v>
      </c>
      <c r="V3" t="s">
        <v>75</v>
      </c>
      <c r="W3" t="s">
        <v>76</v>
      </c>
      <c r="X3" t="s">
        <v>77</v>
      </c>
      <c r="Z3" t="str">
        <f>_xlfn.TEXTJOIN(",",TRUE,Table1[[#This Row],[Col5]],Table1[[#This Row],[Col4]],Table1[[#This Row],[Col3]],Table1[[#This Row],[Col2]],Table1[[#This Row],[Col1]])</f>
        <v xml:space="preserve"> Personal Care, Daily Essentials, Snacks and Beverages,Groceries</v>
      </c>
      <c r="AA3" t="s">
        <v>78</v>
      </c>
      <c r="AB3" t="s">
        <v>78</v>
      </c>
      <c r="AC3" t="s">
        <v>79</v>
      </c>
      <c r="AD3" t="s">
        <v>80</v>
      </c>
      <c r="AE3" t="s">
        <v>79</v>
      </c>
      <c r="AF3" t="s">
        <v>78</v>
      </c>
      <c r="AG3" t="s">
        <v>80</v>
      </c>
      <c r="AH3" t="s">
        <v>80</v>
      </c>
      <c r="AI3" t="s">
        <v>81</v>
      </c>
      <c r="AJ3" t="s">
        <v>80</v>
      </c>
      <c r="AK3">
        <v>5</v>
      </c>
      <c r="AL3">
        <v>5</v>
      </c>
      <c r="AM3">
        <v>5</v>
      </c>
      <c r="AN3" t="s">
        <v>82</v>
      </c>
      <c r="AO3" t="s">
        <v>83</v>
      </c>
      <c r="AP3" t="s">
        <v>84</v>
      </c>
      <c r="AQ3" t="s">
        <v>85</v>
      </c>
    </row>
    <row r="4" spans="1:60" x14ac:dyDescent="0.35">
      <c r="A4">
        <v>29</v>
      </c>
      <c r="B4" t="str" cm="1">
        <f t="array" ref="B4">_xlfn.IFS(A4&lt;=25,"18-25",A4&lt;=33,"26-33",A4&lt;=41,"34-41",A4&lt;=49,"42-49",A4&gt;49,"50 or above")</f>
        <v>26-33</v>
      </c>
      <c r="C4" t="s">
        <v>62</v>
      </c>
      <c r="D4" t="s">
        <v>63</v>
      </c>
      <c r="E4" t="s">
        <v>86</v>
      </c>
      <c r="F4" t="s">
        <v>87</v>
      </c>
      <c r="G4" t="s">
        <v>66</v>
      </c>
      <c r="H4" t="s">
        <v>88</v>
      </c>
      <c r="I4">
        <v>0</v>
      </c>
      <c r="Z4" t="str">
        <f>_xlfn.TEXTJOIN(",",TRUE,Table1[[#This Row],[Col5]],Table1[[#This Row],[Col4]],Table1[[#This Row],[Col3]],Table1[[#This Row],[Col2]],Table1[[#This Row],[Col1]])</f>
        <v/>
      </c>
      <c r="AY4" t="s">
        <v>66</v>
      </c>
      <c r="AZ4" t="s">
        <v>66</v>
      </c>
      <c r="BA4" t="s">
        <v>88</v>
      </c>
      <c r="BB4" t="s">
        <v>78</v>
      </c>
      <c r="BC4" t="s">
        <v>80</v>
      </c>
      <c r="BD4" t="s">
        <v>81</v>
      </c>
      <c r="BE4" t="s">
        <v>78</v>
      </c>
      <c r="BF4" t="s">
        <v>81</v>
      </c>
      <c r="BG4" t="s">
        <v>78</v>
      </c>
      <c r="BH4" t="s">
        <v>78</v>
      </c>
    </row>
    <row r="5" spans="1:60" x14ac:dyDescent="0.35">
      <c r="A5">
        <v>21</v>
      </c>
      <c r="B5" t="str" cm="1">
        <f t="array" ref="B5">_xlfn.IFS(A5&lt;=25,"18-25",A5&lt;=33,"26-33",A5&lt;=41,"34-41",A5&lt;=49,"42-49",A5&gt;49,"50 or above")</f>
        <v>18-25</v>
      </c>
      <c r="C5" t="s">
        <v>89</v>
      </c>
      <c r="D5" t="s">
        <v>63</v>
      </c>
      <c r="E5" t="s">
        <v>64</v>
      </c>
      <c r="F5" t="s">
        <v>90</v>
      </c>
      <c r="G5" t="s">
        <v>66</v>
      </c>
      <c r="H5" t="s">
        <v>66</v>
      </c>
      <c r="I5">
        <v>1</v>
      </c>
      <c r="J5" t="s">
        <v>67</v>
      </c>
      <c r="L5" t="s">
        <v>69</v>
      </c>
      <c r="P5" t="s">
        <v>91</v>
      </c>
      <c r="Q5" t="s">
        <v>70</v>
      </c>
      <c r="R5" t="s">
        <v>92</v>
      </c>
      <c r="S5" t="s">
        <v>72</v>
      </c>
      <c r="T5" t="s">
        <v>73</v>
      </c>
      <c r="U5" t="s">
        <v>74</v>
      </c>
      <c r="V5" t="s">
        <v>75</v>
      </c>
      <c r="Z5" t="str">
        <f>_xlfn.TEXTJOIN(",",TRUE,Table1[[#This Row],[Col5]],Table1[[#This Row],[Col4]],Table1[[#This Row],[Col3]],Table1[[#This Row],[Col2]],Table1[[#This Row],[Col1]])</f>
        <v xml:space="preserve"> Snacks and Beverages,Groceries</v>
      </c>
      <c r="AA5" t="s">
        <v>78</v>
      </c>
      <c r="AB5" t="s">
        <v>78</v>
      </c>
      <c r="AC5" t="s">
        <v>81</v>
      </c>
      <c r="AD5" t="s">
        <v>81</v>
      </c>
      <c r="AE5" t="s">
        <v>79</v>
      </c>
      <c r="AF5" t="s">
        <v>80</v>
      </c>
      <c r="AG5" t="s">
        <v>80</v>
      </c>
      <c r="AH5" t="s">
        <v>80</v>
      </c>
      <c r="AI5" t="s">
        <v>78</v>
      </c>
      <c r="AJ5" t="s">
        <v>78</v>
      </c>
      <c r="AK5">
        <v>4</v>
      </c>
      <c r="AL5">
        <v>5</v>
      </c>
      <c r="AM5">
        <v>5</v>
      </c>
      <c r="AN5" t="s">
        <v>82</v>
      </c>
    </row>
    <row r="6" spans="1:60" x14ac:dyDescent="0.35">
      <c r="A6">
        <v>23</v>
      </c>
      <c r="B6" t="str" cm="1">
        <f t="array" ref="B6">_xlfn.IFS(A6&lt;=25,"18-25",A6&lt;=33,"26-33",A6&lt;=41,"34-41",A6&lt;=49,"42-49",A6&gt;49,"50 or above")</f>
        <v>18-25</v>
      </c>
      <c r="C6" t="s">
        <v>62</v>
      </c>
      <c r="D6" t="s">
        <v>63</v>
      </c>
      <c r="E6" t="s">
        <v>64</v>
      </c>
      <c r="F6" t="s">
        <v>90</v>
      </c>
      <c r="G6" t="s">
        <v>66</v>
      </c>
      <c r="H6" t="s">
        <v>66</v>
      </c>
      <c r="I6">
        <v>1</v>
      </c>
      <c r="J6" t="s">
        <v>67</v>
      </c>
      <c r="K6" t="s">
        <v>68</v>
      </c>
      <c r="L6" t="s">
        <v>69</v>
      </c>
      <c r="P6" t="s">
        <v>93</v>
      </c>
      <c r="Q6" t="s">
        <v>70</v>
      </c>
      <c r="R6" t="s">
        <v>94</v>
      </c>
      <c r="S6" t="s">
        <v>95</v>
      </c>
      <c r="T6" t="s">
        <v>73</v>
      </c>
      <c r="V6" t="s">
        <v>96</v>
      </c>
      <c r="Z6" t="str">
        <f>_xlfn.TEXTJOIN(",",TRUE,Table1[[#This Row],[Col5]],Table1[[#This Row],[Col4]],Table1[[#This Row],[Col3]],Table1[[#This Row],[Col2]],Table1[[#This Row],[Col1]])</f>
        <v>Snacks and Beverages</v>
      </c>
      <c r="AA6" t="s">
        <v>78</v>
      </c>
      <c r="AB6" t="s">
        <v>80</v>
      </c>
      <c r="AC6" t="s">
        <v>80</v>
      </c>
      <c r="AD6" t="s">
        <v>78</v>
      </c>
      <c r="AE6" t="s">
        <v>80</v>
      </c>
      <c r="AF6" t="s">
        <v>80</v>
      </c>
      <c r="AG6" t="s">
        <v>81</v>
      </c>
      <c r="AH6" t="s">
        <v>78</v>
      </c>
      <c r="AI6" t="s">
        <v>79</v>
      </c>
      <c r="AJ6" t="s">
        <v>78</v>
      </c>
      <c r="AK6">
        <v>5</v>
      </c>
      <c r="AL6">
        <v>5</v>
      </c>
      <c r="AM6">
        <v>5</v>
      </c>
      <c r="AN6" t="s">
        <v>97</v>
      </c>
    </row>
    <row r="7" spans="1:60" x14ac:dyDescent="0.35">
      <c r="A7">
        <v>22</v>
      </c>
      <c r="B7" t="str" cm="1">
        <f t="array" ref="B7">_xlfn.IFS(A7&lt;=25,"18-25",A7&lt;=33,"26-33",A7&lt;=41,"34-41",A7&lt;=49,"42-49",A7&gt;49,"50 or above")</f>
        <v>18-25</v>
      </c>
      <c r="C7" t="s">
        <v>89</v>
      </c>
      <c r="D7" t="s">
        <v>63</v>
      </c>
      <c r="E7" t="s">
        <v>64</v>
      </c>
      <c r="F7" t="s">
        <v>87</v>
      </c>
      <c r="G7" t="s">
        <v>66</v>
      </c>
      <c r="H7" t="s">
        <v>66</v>
      </c>
      <c r="I7">
        <v>1</v>
      </c>
      <c r="J7" t="s">
        <v>67</v>
      </c>
      <c r="P7" t="s">
        <v>67</v>
      </c>
      <c r="Q7" t="s">
        <v>98</v>
      </c>
      <c r="R7" t="s">
        <v>94</v>
      </c>
      <c r="S7" t="s">
        <v>72</v>
      </c>
      <c r="T7" t="s">
        <v>99</v>
      </c>
      <c r="V7" t="s">
        <v>96</v>
      </c>
      <c r="W7" t="s">
        <v>76</v>
      </c>
      <c r="Z7" t="str">
        <f>_xlfn.TEXTJOIN(",",TRUE,Table1[[#This Row],[Col5]],Table1[[#This Row],[Col4]],Table1[[#This Row],[Col3]],Table1[[#This Row],[Col2]],Table1[[#This Row],[Col1]])</f>
        <v xml:space="preserve"> Daily Essentials,Snacks and Beverages</v>
      </c>
      <c r="AA7" t="s">
        <v>78</v>
      </c>
      <c r="AB7" t="s">
        <v>80</v>
      </c>
      <c r="AC7" t="s">
        <v>81</v>
      </c>
      <c r="AD7" t="s">
        <v>78</v>
      </c>
      <c r="AE7" t="s">
        <v>79</v>
      </c>
      <c r="AF7" t="s">
        <v>78</v>
      </c>
      <c r="AG7" t="s">
        <v>80</v>
      </c>
      <c r="AH7" t="s">
        <v>78</v>
      </c>
      <c r="AI7" t="s">
        <v>78</v>
      </c>
      <c r="AJ7" t="s">
        <v>78</v>
      </c>
      <c r="AK7">
        <v>4</v>
      </c>
      <c r="AL7">
        <v>4</v>
      </c>
      <c r="AM7">
        <v>5</v>
      </c>
      <c r="AN7" t="s">
        <v>82</v>
      </c>
    </row>
    <row r="8" spans="1:60" x14ac:dyDescent="0.35">
      <c r="A8">
        <v>22</v>
      </c>
      <c r="B8" t="str" cm="1">
        <f t="array" ref="B8">_xlfn.IFS(A8&lt;=25,"18-25",A8&lt;=33,"26-33",A8&lt;=41,"34-41",A8&lt;=49,"42-49",A8&gt;49,"50 or above")</f>
        <v>18-25</v>
      </c>
      <c r="C8" t="s">
        <v>62</v>
      </c>
      <c r="D8" t="s">
        <v>63</v>
      </c>
      <c r="E8" t="s">
        <v>64</v>
      </c>
      <c r="F8" t="s">
        <v>65</v>
      </c>
      <c r="G8" t="s">
        <v>66</v>
      </c>
      <c r="H8" t="s">
        <v>66</v>
      </c>
      <c r="I8">
        <v>1</v>
      </c>
      <c r="J8" t="s">
        <v>67</v>
      </c>
      <c r="K8" t="s">
        <v>68</v>
      </c>
      <c r="L8" t="s">
        <v>69</v>
      </c>
      <c r="M8" t="s">
        <v>100</v>
      </c>
      <c r="P8" t="s">
        <v>67</v>
      </c>
      <c r="Q8" t="s">
        <v>98</v>
      </c>
      <c r="R8" t="s">
        <v>92</v>
      </c>
      <c r="S8" t="s">
        <v>95</v>
      </c>
      <c r="T8" t="s">
        <v>73</v>
      </c>
      <c r="V8" t="s">
        <v>96</v>
      </c>
      <c r="Z8" t="str">
        <f>_xlfn.TEXTJOIN(",",TRUE,Table1[[#This Row],[Col5]],Table1[[#This Row],[Col4]],Table1[[#This Row],[Col3]],Table1[[#This Row],[Col2]],Table1[[#This Row],[Col1]])</f>
        <v>Snacks and Beverages</v>
      </c>
      <c r="AA8" t="s">
        <v>80</v>
      </c>
      <c r="AB8" t="s">
        <v>81</v>
      </c>
      <c r="AC8" t="s">
        <v>80</v>
      </c>
      <c r="AD8" t="s">
        <v>78</v>
      </c>
      <c r="AE8" t="s">
        <v>79</v>
      </c>
      <c r="AF8" t="s">
        <v>81</v>
      </c>
      <c r="AG8" t="s">
        <v>79</v>
      </c>
      <c r="AH8" t="s">
        <v>80</v>
      </c>
      <c r="AI8" t="s">
        <v>101</v>
      </c>
      <c r="AJ8" t="s">
        <v>79</v>
      </c>
      <c r="AK8">
        <v>4</v>
      </c>
      <c r="AL8">
        <v>3</v>
      </c>
      <c r="AM8">
        <v>3</v>
      </c>
      <c r="AN8" t="s">
        <v>82</v>
      </c>
    </row>
    <row r="9" spans="1:60" x14ac:dyDescent="0.35">
      <c r="A9">
        <v>20</v>
      </c>
      <c r="B9" t="str" cm="1">
        <f t="array" ref="B9">_xlfn.IFS(A9&lt;=25,"18-25",A9&lt;=33,"26-33",A9&lt;=41,"34-41",A9&lt;=49,"42-49",A9&gt;49,"50 or above")</f>
        <v>18-25</v>
      </c>
      <c r="C9" t="s">
        <v>89</v>
      </c>
      <c r="D9" t="s">
        <v>63</v>
      </c>
      <c r="E9" t="s">
        <v>64</v>
      </c>
      <c r="F9" t="s">
        <v>102</v>
      </c>
      <c r="G9" t="s">
        <v>66</v>
      </c>
      <c r="H9" t="s">
        <v>66</v>
      </c>
      <c r="I9">
        <v>1</v>
      </c>
      <c r="J9" t="s">
        <v>67</v>
      </c>
      <c r="K9" t="s">
        <v>68</v>
      </c>
      <c r="L9" t="s">
        <v>69</v>
      </c>
      <c r="P9" t="s">
        <v>67</v>
      </c>
      <c r="Q9" t="s">
        <v>103</v>
      </c>
      <c r="R9" t="s">
        <v>92</v>
      </c>
      <c r="S9" t="s">
        <v>72</v>
      </c>
      <c r="T9" t="s">
        <v>99</v>
      </c>
      <c r="U9" t="s">
        <v>74</v>
      </c>
      <c r="V9" t="s">
        <v>75</v>
      </c>
      <c r="W9" t="s">
        <v>76</v>
      </c>
      <c r="X9" t="s">
        <v>77</v>
      </c>
      <c r="Z9" t="str">
        <f>_xlfn.TEXTJOIN(",",TRUE,Table1[[#This Row],[Col5]],Table1[[#This Row],[Col4]],Table1[[#This Row],[Col3]],Table1[[#This Row],[Col2]],Table1[[#This Row],[Col1]])</f>
        <v xml:space="preserve"> Personal Care, Daily Essentials, Snacks and Beverages,Groceries</v>
      </c>
      <c r="AA9" t="s">
        <v>80</v>
      </c>
      <c r="AB9" t="s">
        <v>80</v>
      </c>
      <c r="AC9" t="s">
        <v>78</v>
      </c>
      <c r="AD9" t="s">
        <v>81</v>
      </c>
      <c r="AE9" t="s">
        <v>81</v>
      </c>
      <c r="AF9" t="s">
        <v>80</v>
      </c>
      <c r="AG9" t="s">
        <v>78</v>
      </c>
      <c r="AH9" t="s">
        <v>80</v>
      </c>
      <c r="AI9" t="s">
        <v>81</v>
      </c>
      <c r="AJ9" t="s">
        <v>81</v>
      </c>
      <c r="AK9">
        <v>5</v>
      </c>
      <c r="AL9">
        <v>4</v>
      </c>
      <c r="AM9">
        <v>4</v>
      </c>
      <c r="AN9" t="s">
        <v>104</v>
      </c>
    </row>
    <row r="10" spans="1:60" x14ac:dyDescent="0.35">
      <c r="A10">
        <v>30</v>
      </c>
      <c r="B10" t="str" cm="1">
        <f t="array" ref="B10">_xlfn.IFS(A10&lt;=25,"18-25",A10&lt;=33,"26-33",A10&lt;=41,"34-41",A10&lt;=49,"42-49",A10&gt;49,"50 or above")</f>
        <v>26-33</v>
      </c>
      <c r="C10" t="s">
        <v>62</v>
      </c>
      <c r="D10" t="s">
        <v>105</v>
      </c>
      <c r="E10" t="s">
        <v>86</v>
      </c>
      <c r="F10" t="s">
        <v>65</v>
      </c>
      <c r="G10" t="s">
        <v>66</v>
      </c>
      <c r="H10" t="s">
        <v>66</v>
      </c>
      <c r="I10">
        <v>1</v>
      </c>
      <c r="J10" t="s">
        <v>67</v>
      </c>
      <c r="K10" t="s">
        <v>68</v>
      </c>
      <c r="L10" t="s">
        <v>69</v>
      </c>
      <c r="P10" t="s">
        <v>67</v>
      </c>
      <c r="Q10" t="s">
        <v>70</v>
      </c>
      <c r="R10" t="s">
        <v>92</v>
      </c>
      <c r="S10" t="s">
        <v>72</v>
      </c>
      <c r="T10" t="s">
        <v>73</v>
      </c>
      <c r="U10" t="s">
        <v>74</v>
      </c>
      <c r="V10" t="s">
        <v>75</v>
      </c>
      <c r="W10" t="s">
        <v>76</v>
      </c>
      <c r="X10" t="s">
        <v>77</v>
      </c>
      <c r="Z10" t="str">
        <f>_xlfn.TEXTJOIN(",",TRUE,Table1[[#This Row],[Col5]],Table1[[#This Row],[Col4]],Table1[[#This Row],[Col3]],Table1[[#This Row],[Col2]],Table1[[#This Row],[Col1]])</f>
        <v xml:space="preserve"> Personal Care, Daily Essentials, Snacks and Beverages,Groceries</v>
      </c>
      <c r="AA10" t="s">
        <v>78</v>
      </c>
      <c r="AB10" t="s">
        <v>78</v>
      </c>
      <c r="AC10" t="s">
        <v>81</v>
      </c>
      <c r="AD10" t="s">
        <v>80</v>
      </c>
      <c r="AE10" t="s">
        <v>80</v>
      </c>
      <c r="AF10" t="s">
        <v>78</v>
      </c>
      <c r="AG10" t="s">
        <v>78</v>
      </c>
      <c r="AH10" t="s">
        <v>78</v>
      </c>
      <c r="AI10" t="s">
        <v>78</v>
      </c>
      <c r="AJ10" t="s">
        <v>78</v>
      </c>
      <c r="AK10">
        <v>5</v>
      </c>
      <c r="AL10">
        <v>5</v>
      </c>
      <c r="AM10">
        <v>5</v>
      </c>
      <c r="AN10" t="s">
        <v>82</v>
      </c>
    </row>
    <row r="11" spans="1:60" x14ac:dyDescent="0.35">
      <c r="A11">
        <v>23</v>
      </c>
      <c r="B11" t="str" cm="1">
        <f t="array" ref="B11">_xlfn.IFS(A11&lt;=25,"18-25",A11&lt;=33,"26-33",A11&lt;=41,"34-41",A11&lt;=49,"42-49",A11&gt;49,"50 or above")</f>
        <v>18-25</v>
      </c>
      <c r="C11" t="s">
        <v>62</v>
      </c>
      <c r="D11" t="s">
        <v>63</v>
      </c>
      <c r="E11" t="s">
        <v>64</v>
      </c>
      <c r="F11" t="s">
        <v>65</v>
      </c>
      <c r="G11" t="s">
        <v>66</v>
      </c>
      <c r="H11" t="s">
        <v>66</v>
      </c>
      <c r="I11">
        <v>1</v>
      </c>
      <c r="J11" t="s">
        <v>67</v>
      </c>
      <c r="K11" t="s">
        <v>68</v>
      </c>
      <c r="L11" t="s">
        <v>69</v>
      </c>
      <c r="P11" t="s">
        <v>67</v>
      </c>
      <c r="Q11" t="s">
        <v>70</v>
      </c>
      <c r="R11" t="s">
        <v>92</v>
      </c>
      <c r="S11" t="s">
        <v>95</v>
      </c>
      <c r="T11" t="s">
        <v>73</v>
      </c>
      <c r="U11" t="s">
        <v>74</v>
      </c>
      <c r="V11" t="s">
        <v>75</v>
      </c>
      <c r="W11" t="s">
        <v>76</v>
      </c>
      <c r="X11" t="s">
        <v>77</v>
      </c>
      <c r="Z11" t="str">
        <f>_xlfn.TEXTJOIN(",",TRUE,Table1[[#This Row],[Col5]],Table1[[#This Row],[Col4]],Table1[[#This Row],[Col3]],Table1[[#This Row],[Col2]],Table1[[#This Row],[Col1]])</f>
        <v xml:space="preserve"> Personal Care, Daily Essentials, Snacks and Beverages,Groceries</v>
      </c>
      <c r="AA11" t="s">
        <v>80</v>
      </c>
      <c r="AB11" t="s">
        <v>78</v>
      </c>
      <c r="AC11" t="s">
        <v>78</v>
      </c>
      <c r="AD11" t="s">
        <v>81</v>
      </c>
      <c r="AE11" t="s">
        <v>81</v>
      </c>
      <c r="AF11" t="s">
        <v>80</v>
      </c>
      <c r="AG11" t="s">
        <v>80</v>
      </c>
      <c r="AH11" t="s">
        <v>78</v>
      </c>
      <c r="AI11" t="s">
        <v>79</v>
      </c>
      <c r="AJ11" t="s">
        <v>80</v>
      </c>
      <c r="AK11">
        <v>4</v>
      </c>
      <c r="AL11">
        <v>5</v>
      </c>
      <c r="AM11">
        <v>4</v>
      </c>
      <c r="AN11" t="s">
        <v>82</v>
      </c>
    </row>
    <row r="12" spans="1:60" x14ac:dyDescent="0.35">
      <c r="A12">
        <v>30</v>
      </c>
      <c r="B12" t="str" cm="1">
        <f t="array" ref="B12">_xlfn.IFS(A12&lt;=25,"18-25",A12&lt;=33,"26-33",A12&lt;=41,"34-41",A12&lt;=49,"42-49",A12&gt;49,"50 or above")</f>
        <v>26-33</v>
      </c>
      <c r="C12" t="s">
        <v>89</v>
      </c>
      <c r="D12" t="s">
        <v>105</v>
      </c>
      <c r="E12" t="s">
        <v>86</v>
      </c>
      <c r="F12" t="s">
        <v>87</v>
      </c>
      <c r="G12" t="s">
        <v>66</v>
      </c>
      <c r="H12" t="s">
        <v>66</v>
      </c>
      <c r="I12">
        <v>1</v>
      </c>
      <c r="J12" t="s">
        <v>67</v>
      </c>
      <c r="K12" t="s">
        <v>68</v>
      </c>
      <c r="L12" t="s">
        <v>69</v>
      </c>
      <c r="N12" t="s">
        <v>106</v>
      </c>
      <c r="P12" t="s">
        <v>67</v>
      </c>
      <c r="Q12" t="s">
        <v>70</v>
      </c>
      <c r="R12" t="s">
        <v>92</v>
      </c>
      <c r="S12" t="s">
        <v>107</v>
      </c>
      <c r="T12" t="s">
        <v>73</v>
      </c>
      <c r="U12" t="s">
        <v>74</v>
      </c>
      <c r="V12" t="s">
        <v>75</v>
      </c>
      <c r="W12" t="s">
        <v>76</v>
      </c>
      <c r="X12" t="s">
        <v>77</v>
      </c>
      <c r="Y12" t="s">
        <v>108</v>
      </c>
      <c r="Z12" t="str">
        <f>_xlfn.TEXTJOIN(",",TRUE,Table1[[#This Row],[Col5]],Table1[[#This Row],[Col4]],Table1[[#This Row],[Col3]],Table1[[#This Row],[Col2]],Table1[[#This Row],[Col1]])</f>
        <v xml:space="preserve"> Medicines, Personal Care, Daily Essentials, Snacks and Beverages,Groceries</v>
      </c>
      <c r="AA12" t="s">
        <v>80</v>
      </c>
      <c r="AB12" t="s">
        <v>80</v>
      </c>
      <c r="AC12" t="s">
        <v>79</v>
      </c>
      <c r="AD12" t="s">
        <v>81</v>
      </c>
      <c r="AE12" t="s">
        <v>81</v>
      </c>
      <c r="AF12" t="s">
        <v>80</v>
      </c>
      <c r="AG12" t="s">
        <v>81</v>
      </c>
      <c r="AH12" t="s">
        <v>81</v>
      </c>
      <c r="AI12" t="s">
        <v>81</v>
      </c>
      <c r="AJ12" t="s">
        <v>81</v>
      </c>
      <c r="AK12">
        <v>3</v>
      </c>
      <c r="AL12">
        <v>4</v>
      </c>
      <c r="AM12">
        <v>4</v>
      </c>
      <c r="AN12" t="s">
        <v>104</v>
      </c>
    </row>
    <row r="13" spans="1:60" x14ac:dyDescent="0.35">
      <c r="A13">
        <v>29</v>
      </c>
      <c r="B13" t="str" cm="1">
        <f t="array" ref="B13">_xlfn.IFS(A13&lt;=25,"18-25",A13&lt;=33,"26-33",A13&lt;=41,"34-41",A13&lt;=49,"42-49",A13&gt;49,"50 or above")</f>
        <v>26-33</v>
      </c>
      <c r="C13" t="s">
        <v>62</v>
      </c>
      <c r="D13" t="s">
        <v>63</v>
      </c>
      <c r="E13" t="s">
        <v>109</v>
      </c>
      <c r="F13" t="s">
        <v>87</v>
      </c>
      <c r="G13" t="s">
        <v>66</v>
      </c>
      <c r="H13" t="s">
        <v>66</v>
      </c>
      <c r="I13">
        <v>1</v>
      </c>
      <c r="J13" t="s">
        <v>67</v>
      </c>
      <c r="K13" t="s">
        <v>68</v>
      </c>
      <c r="L13" t="s">
        <v>69</v>
      </c>
      <c r="P13" t="s">
        <v>67</v>
      </c>
      <c r="Q13" t="s">
        <v>70</v>
      </c>
      <c r="R13" t="s">
        <v>71</v>
      </c>
      <c r="S13" t="s">
        <v>72</v>
      </c>
      <c r="T13" t="s">
        <v>73</v>
      </c>
      <c r="U13" t="s">
        <v>74</v>
      </c>
      <c r="V13" t="s">
        <v>75</v>
      </c>
      <c r="W13" t="s">
        <v>76</v>
      </c>
      <c r="X13" t="s">
        <v>77</v>
      </c>
      <c r="Z13" t="str">
        <f>_xlfn.TEXTJOIN(",",TRUE,Table1[[#This Row],[Col5]],Table1[[#This Row],[Col4]],Table1[[#This Row],[Col3]],Table1[[#This Row],[Col2]],Table1[[#This Row],[Col1]])</f>
        <v xml:space="preserve"> Personal Care, Daily Essentials, Snacks and Beverages,Groceries</v>
      </c>
      <c r="AA13" t="s">
        <v>78</v>
      </c>
      <c r="AB13" t="s">
        <v>80</v>
      </c>
      <c r="AC13" t="s">
        <v>78</v>
      </c>
      <c r="AD13" t="s">
        <v>78</v>
      </c>
      <c r="AE13" t="s">
        <v>78</v>
      </c>
      <c r="AF13" t="s">
        <v>80</v>
      </c>
      <c r="AG13" t="s">
        <v>78</v>
      </c>
      <c r="AH13" t="s">
        <v>78</v>
      </c>
      <c r="AI13" t="s">
        <v>78</v>
      </c>
      <c r="AJ13" t="s">
        <v>78</v>
      </c>
      <c r="AK13">
        <v>5</v>
      </c>
      <c r="AL13">
        <v>5</v>
      </c>
      <c r="AM13">
        <v>5</v>
      </c>
      <c r="AN13" t="s">
        <v>104</v>
      </c>
    </row>
    <row r="14" spans="1:60" x14ac:dyDescent="0.35">
      <c r="A14">
        <v>50</v>
      </c>
      <c r="B14" t="str" cm="1">
        <f t="array" ref="B14">_xlfn.IFS(A14&lt;=25,"18-25",A14&lt;=33,"26-33",A14&lt;=41,"34-41",A14&lt;=49,"42-49",A14&gt;49,"50 or above")</f>
        <v>50 or above</v>
      </c>
      <c r="C14" t="s">
        <v>89</v>
      </c>
      <c r="D14" t="s">
        <v>63</v>
      </c>
      <c r="E14" t="s">
        <v>86</v>
      </c>
      <c r="F14" t="s">
        <v>90</v>
      </c>
      <c r="G14" t="s">
        <v>66</v>
      </c>
      <c r="H14" t="s">
        <v>66</v>
      </c>
      <c r="I14">
        <v>1</v>
      </c>
      <c r="J14" t="s">
        <v>67</v>
      </c>
      <c r="K14" t="s">
        <v>68</v>
      </c>
      <c r="L14" t="s">
        <v>69</v>
      </c>
      <c r="P14" t="s">
        <v>91</v>
      </c>
      <c r="Q14" t="s">
        <v>70</v>
      </c>
      <c r="R14" t="s">
        <v>110</v>
      </c>
      <c r="S14" t="s">
        <v>107</v>
      </c>
      <c r="T14" t="s">
        <v>73</v>
      </c>
      <c r="U14" t="s">
        <v>74</v>
      </c>
      <c r="Z14" t="str">
        <f>_xlfn.TEXTJOIN(",",TRUE,Table1[[#This Row],[Col5]],Table1[[#This Row],[Col4]],Table1[[#This Row],[Col3]],Table1[[#This Row],[Col2]],Table1[[#This Row],[Col1]])</f>
        <v>Groceries</v>
      </c>
      <c r="AA14" t="s">
        <v>80</v>
      </c>
      <c r="AB14" t="s">
        <v>80</v>
      </c>
      <c r="AC14" t="s">
        <v>81</v>
      </c>
      <c r="AD14" t="s">
        <v>81</v>
      </c>
      <c r="AE14" t="s">
        <v>81</v>
      </c>
      <c r="AF14" t="s">
        <v>80</v>
      </c>
      <c r="AG14" t="s">
        <v>78</v>
      </c>
      <c r="AH14" t="s">
        <v>80</v>
      </c>
      <c r="AI14" t="s">
        <v>81</v>
      </c>
      <c r="AJ14" t="s">
        <v>80</v>
      </c>
      <c r="AK14">
        <v>4</v>
      </c>
      <c r="AL14">
        <v>4</v>
      </c>
      <c r="AM14">
        <v>4</v>
      </c>
      <c r="AN14" t="s">
        <v>82</v>
      </c>
    </row>
    <row r="15" spans="1:60" x14ac:dyDescent="0.35">
      <c r="A15">
        <v>43</v>
      </c>
      <c r="B15" t="str" cm="1">
        <f t="array" ref="B15">_xlfn.IFS(A15&lt;=25,"18-25",A15&lt;=33,"26-33",A15&lt;=41,"34-41",A15&lt;=49,"42-49",A15&gt;49,"50 or above")</f>
        <v>42-49</v>
      </c>
      <c r="C15" t="s">
        <v>89</v>
      </c>
      <c r="D15" t="s">
        <v>105</v>
      </c>
      <c r="E15" t="s">
        <v>86</v>
      </c>
      <c r="F15" t="s">
        <v>90</v>
      </c>
      <c r="G15" t="s">
        <v>66</v>
      </c>
      <c r="H15" t="s">
        <v>66</v>
      </c>
      <c r="I15">
        <v>1</v>
      </c>
      <c r="J15" t="s">
        <v>67</v>
      </c>
      <c r="L15" t="s">
        <v>69</v>
      </c>
      <c r="O15" t="s">
        <v>111</v>
      </c>
      <c r="P15" t="s">
        <v>111</v>
      </c>
      <c r="Q15" t="s">
        <v>70</v>
      </c>
      <c r="R15" t="s">
        <v>92</v>
      </c>
      <c r="S15" t="s">
        <v>72</v>
      </c>
      <c r="T15" t="s">
        <v>73</v>
      </c>
      <c r="U15" t="s">
        <v>74</v>
      </c>
      <c r="V15" t="s">
        <v>75</v>
      </c>
      <c r="W15" t="s">
        <v>76</v>
      </c>
      <c r="X15" t="s">
        <v>108</v>
      </c>
      <c r="Z15" t="str">
        <f>_xlfn.TEXTJOIN(",",TRUE,Table1[[#This Row],[Col5]],Table1[[#This Row],[Col4]],Table1[[#This Row],[Col3]],Table1[[#This Row],[Col2]],Table1[[#This Row],[Col1]])</f>
        <v xml:space="preserve"> Medicines, Daily Essentials, Snacks and Beverages,Groceries</v>
      </c>
      <c r="AA15" t="s">
        <v>80</v>
      </c>
      <c r="AB15" t="s">
        <v>80</v>
      </c>
      <c r="AC15" t="s">
        <v>80</v>
      </c>
      <c r="AD15" t="s">
        <v>80</v>
      </c>
      <c r="AE15" t="s">
        <v>81</v>
      </c>
      <c r="AF15" t="s">
        <v>80</v>
      </c>
      <c r="AG15" t="s">
        <v>80</v>
      </c>
      <c r="AH15" t="s">
        <v>80</v>
      </c>
      <c r="AI15" t="s">
        <v>80</v>
      </c>
      <c r="AJ15" t="s">
        <v>80</v>
      </c>
      <c r="AK15">
        <v>2</v>
      </c>
      <c r="AL15">
        <v>2</v>
      </c>
      <c r="AM15">
        <v>3</v>
      </c>
      <c r="AN15" t="s">
        <v>104</v>
      </c>
    </row>
    <row r="16" spans="1:60" x14ac:dyDescent="0.35">
      <c r="A16">
        <v>29</v>
      </c>
      <c r="B16" t="str" cm="1">
        <f t="array" ref="B16">_xlfn.IFS(A16&lt;=25,"18-25",A16&lt;=33,"26-33",A16&lt;=41,"34-41",A16&lt;=49,"42-49",A16&gt;49,"50 or above")</f>
        <v>26-33</v>
      </c>
      <c r="C16" t="s">
        <v>89</v>
      </c>
      <c r="D16" t="s">
        <v>63</v>
      </c>
      <c r="E16" t="s">
        <v>86</v>
      </c>
      <c r="F16" t="s">
        <v>90</v>
      </c>
      <c r="G16" t="s">
        <v>66</v>
      </c>
      <c r="H16" t="s">
        <v>66</v>
      </c>
      <c r="I16">
        <v>1</v>
      </c>
      <c r="J16" t="s">
        <v>67</v>
      </c>
      <c r="L16" t="s">
        <v>69</v>
      </c>
      <c r="O16" t="s">
        <v>111</v>
      </c>
      <c r="P16" t="s">
        <v>111</v>
      </c>
      <c r="Q16" t="s">
        <v>70</v>
      </c>
      <c r="R16" t="s">
        <v>110</v>
      </c>
      <c r="S16" t="s">
        <v>107</v>
      </c>
      <c r="T16" t="s">
        <v>112</v>
      </c>
      <c r="U16" t="s">
        <v>74</v>
      </c>
      <c r="V16" t="s">
        <v>75</v>
      </c>
      <c r="Z16" t="str">
        <f>_xlfn.TEXTJOIN(",",TRUE,Table1[[#This Row],[Col5]],Table1[[#This Row],[Col4]],Table1[[#This Row],[Col3]],Table1[[#This Row],[Col2]],Table1[[#This Row],[Col1]])</f>
        <v xml:space="preserve"> Snacks and Beverages,Groceries</v>
      </c>
      <c r="AA16" t="s">
        <v>80</v>
      </c>
      <c r="AB16" t="s">
        <v>78</v>
      </c>
      <c r="AC16" t="s">
        <v>81</v>
      </c>
      <c r="AD16" t="s">
        <v>80</v>
      </c>
      <c r="AE16" t="s">
        <v>81</v>
      </c>
      <c r="AF16" t="s">
        <v>80</v>
      </c>
      <c r="AG16" t="s">
        <v>80</v>
      </c>
      <c r="AH16" t="s">
        <v>80</v>
      </c>
      <c r="AI16" t="s">
        <v>81</v>
      </c>
      <c r="AJ16" t="s">
        <v>80</v>
      </c>
      <c r="AK16">
        <v>3</v>
      </c>
      <c r="AL16">
        <v>4</v>
      </c>
      <c r="AM16">
        <v>4</v>
      </c>
      <c r="AN16" t="s">
        <v>104</v>
      </c>
    </row>
    <row r="17" spans="1:60" x14ac:dyDescent="0.35">
      <c r="A17">
        <v>19</v>
      </c>
      <c r="B17" t="str" cm="1">
        <f t="array" ref="B17">_xlfn.IFS(A17&lt;=25,"18-25",A17&lt;=33,"26-33",A17&lt;=41,"34-41",A17&lt;=49,"42-49",A17&gt;49,"50 or above")</f>
        <v>18-25</v>
      </c>
      <c r="C17" t="s">
        <v>89</v>
      </c>
      <c r="D17" t="s">
        <v>63</v>
      </c>
      <c r="E17" t="s">
        <v>64</v>
      </c>
      <c r="F17" t="s">
        <v>65</v>
      </c>
      <c r="G17" t="s">
        <v>66</v>
      </c>
      <c r="H17" t="s">
        <v>66</v>
      </c>
      <c r="I17">
        <v>1</v>
      </c>
      <c r="J17" t="s">
        <v>67</v>
      </c>
      <c r="K17" t="s">
        <v>68</v>
      </c>
      <c r="L17" t="s">
        <v>69</v>
      </c>
      <c r="O17" t="s">
        <v>111</v>
      </c>
      <c r="P17" t="s">
        <v>111</v>
      </c>
      <c r="Q17" t="s">
        <v>98</v>
      </c>
      <c r="R17" t="s">
        <v>92</v>
      </c>
      <c r="S17" t="s">
        <v>113</v>
      </c>
      <c r="T17" t="s">
        <v>73</v>
      </c>
      <c r="U17" t="s">
        <v>74</v>
      </c>
      <c r="W17" t="s">
        <v>76</v>
      </c>
      <c r="X17" t="s">
        <v>77</v>
      </c>
      <c r="Z17" t="str">
        <f>_xlfn.TEXTJOIN(",",TRUE,Table1[[#This Row],[Col5]],Table1[[#This Row],[Col4]],Table1[[#This Row],[Col3]],Table1[[#This Row],[Col2]],Table1[[#This Row],[Col1]])</f>
        <v xml:space="preserve"> Personal Care, Daily Essentials,Groceries</v>
      </c>
      <c r="AA17" t="s">
        <v>78</v>
      </c>
      <c r="AB17" t="s">
        <v>81</v>
      </c>
      <c r="AC17" t="s">
        <v>80</v>
      </c>
      <c r="AD17" t="s">
        <v>101</v>
      </c>
      <c r="AE17" t="s">
        <v>78</v>
      </c>
      <c r="AF17" t="s">
        <v>78</v>
      </c>
      <c r="AG17" t="s">
        <v>81</v>
      </c>
      <c r="AH17" t="s">
        <v>101</v>
      </c>
      <c r="AI17" t="s">
        <v>101</v>
      </c>
      <c r="AJ17" t="s">
        <v>78</v>
      </c>
      <c r="AK17">
        <v>4</v>
      </c>
      <c r="AL17">
        <v>5</v>
      </c>
      <c r="AM17">
        <v>4</v>
      </c>
      <c r="AN17" t="s">
        <v>104</v>
      </c>
    </row>
    <row r="18" spans="1:60" x14ac:dyDescent="0.35">
      <c r="A18">
        <v>22</v>
      </c>
      <c r="B18" t="str" cm="1">
        <f t="array" ref="B18">_xlfn.IFS(A18&lt;=25,"18-25",A18&lt;=33,"26-33",A18&lt;=41,"34-41",A18&lt;=49,"42-49",A18&gt;49,"50 or above")</f>
        <v>18-25</v>
      </c>
      <c r="C18" t="s">
        <v>62</v>
      </c>
      <c r="D18" t="s">
        <v>63</v>
      </c>
      <c r="E18" t="s">
        <v>64</v>
      </c>
      <c r="F18" t="s">
        <v>65</v>
      </c>
      <c r="G18" t="s">
        <v>66</v>
      </c>
      <c r="H18" t="s">
        <v>66</v>
      </c>
      <c r="I18">
        <v>1</v>
      </c>
      <c r="J18" t="s">
        <v>67</v>
      </c>
      <c r="K18" t="s">
        <v>68</v>
      </c>
      <c r="L18" t="s">
        <v>69</v>
      </c>
      <c r="M18" t="s">
        <v>114</v>
      </c>
      <c r="P18" t="s">
        <v>67</v>
      </c>
      <c r="Q18" t="s">
        <v>70</v>
      </c>
      <c r="R18" t="s">
        <v>92</v>
      </c>
      <c r="S18" t="s">
        <v>72</v>
      </c>
      <c r="T18" t="s">
        <v>73</v>
      </c>
      <c r="U18" t="s">
        <v>74</v>
      </c>
      <c r="V18" t="s">
        <v>75</v>
      </c>
      <c r="X18" t="s">
        <v>77</v>
      </c>
      <c r="Z18" t="str">
        <f>_xlfn.TEXTJOIN(",",TRUE,Table1[[#This Row],[Col5]],Table1[[#This Row],[Col4]],Table1[[#This Row],[Col3]],Table1[[#This Row],[Col2]],Table1[[#This Row],[Col1]])</f>
        <v xml:space="preserve"> Personal Care, Snacks and Beverages,Groceries</v>
      </c>
      <c r="AA18" t="s">
        <v>78</v>
      </c>
      <c r="AB18" t="s">
        <v>80</v>
      </c>
      <c r="AC18" t="s">
        <v>81</v>
      </c>
      <c r="AD18" t="s">
        <v>81</v>
      </c>
      <c r="AE18" t="s">
        <v>81</v>
      </c>
      <c r="AF18" t="s">
        <v>81</v>
      </c>
      <c r="AG18" t="s">
        <v>78</v>
      </c>
      <c r="AH18" t="s">
        <v>80</v>
      </c>
      <c r="AI18" t="s">
        <v>80</v>
      </c>
      <c r="AJ18" t="s">
        <v>78</v>
      </c>
      <c r="AK18">
        <v>4</v>
      </c>
      <c r="AL18">
        <v>4</v>
      </c>
      <c r="AM18">
        <v>5</v>
      </c>
      <c r="AN18" t="s">
        <v>82</v>
      </c>
    </row>
    <row r="19" spans="1:60" x14ac:dyDescent="0.35">
      <c r="A19">
        <v>50</v>
      </c>
      <c r="B19" t="str" cm="1">
        <f t="array" ref="B19">_xlfn.IFS(A19&lt;=25,"18-25",A19&lt;=33,"26-33",A19&lt;=41,"34-41",A19&lt;=49,"42-49",A19&gt;49,"50 or above")</f>
        <v>50 or above</v>
      </c>
      <c r="C19" t="s">
        <v>89</v>
      </c>
      <c r="D19" t="s">
        <v>105</v>
      </c>
      <c r="E19" t="s">
        <v>86</v>
      </c>
      <c r="F19" t="s">
        <v>65</v>
      </c>
      <c r="G19" t="s">
        <v>66</v>
      </c>
      <c r="H19" t="s">
        <v>66</v>
      </c>
      <c r="I19">
        <v>1</v>
      </c>
      <c r="J19" t="s">
        <v>67</v>
      </c>
      <c r="K19" t="s">
        <v>68</v>
      </c>
      <c r="L19" t="s">
        <v>69</v>
      </c>
      <c r="P19" t="s">
        <v>93</v>
      </c>
      <c r="Q19" t="s">
        <v>70</v>
      </c>
      <c r="R19" t="s">
        <v>110</v>
      </c>
      <c r="S19" t="s">
        <v>95</v>
      </c>
      <c r="T19" t="s">
        <v>99</v>
      </c>
      <c r="U19" t="s">
        <v>74</v>
      </c>
      <c r="V19" t="s">
        <v>75</v>
      </c>
      <c r="W19" t="s">
        <v>76</v>
      </c>
      <c r="X19" t="s">
        <v>77</v>
      </c>
      <c r="Z19" t="str">
        <f>_xlfn.TEXTJOIN(",",TRUE,Table1[[#This Row],[Col5]],Table1[[#This Row],[Col4]],Table1[[#This Row],[Col3]],Table1[[#This Row],[Col2]],Table1[[#This Row],[Col1]])</f>
        <v xml:space="preserve"> Personal Care, Daily Essentials, Snacks and Beverages,Groceries</v>
      </c>
      <c r="AA19" t="s">
        <v>78</v>
      </c>
      <c r="AB19" t="s">
        <v>78</v>
      </c>
      <c r="AC19" t="s">
        <v>80</v>
      </c>
      <c r="AD19" t="s">
        <v>81</v>
      </c>
      <c r="AE19" t="s">
        <v>80</v>
      </c>
      <c r="AF19" t="s">
        <v>79</v>
      </c>
      <c r="AG19" t="s">
        <v>80</v>
      </c>
      <c r="AH19" t="s">
        <v>79</v>
      </c>
      <c r="AI19" t="s">
        <v>80</v>
      </c>
      <c r="AJ19" t="s">
        <v>80</v>
      </c>
      <c r="AK19">
        <v>5</v>
      </c>
      <c r="AL19">
        <v>5</v>
      </c>
      <c r="AM19">
        <v>5</v>
      </c>
      <c r="AN19" t="s">
        <v>104</v>
      </c>
    </row>
    <row r="20" spans="1:60" x14ac:dyDescent="0.35">
      <c r="A20">
        <v>46</v>
      </c>
      <c r="B20" t="str" cm="1">
        <f t="array" ref="B20">_xlfn.IFS(A20&lt;=25,"18-25",A20&lt;=33,"26-33",A20&lt;=41,"34-41",A20&lt;=49,"42-49",A20&gt;49,"50 or above")</f>
        <v>42-49</v>
      </c>
      <c r="C20" t="s">
        <v>62</v>
      </c>
      <c r="D20" t="s">
        <v>105</v>
      </c>
      <c r="E20" t="s">
        <v>109</v>
      </c>
      <c r="F20" t="s">
        <v>102</v>
      </c>
      <c r="G20" t="s">
        <v>66</v>
      </c>
      <c r="H20" t="s">
        <v>66</v>
      </c>
      <c r="I20">
        <v>1</v>
      </c>
      <c r="J20" t="s">
        <v>67</v>
      </c>
      <c r="K20" t="s">
        <v>68</v>
      </c>
      <c r="L20" t="s">
        <v>69</v>
      </c>
      <c r="P20" t="s">
        <v>67</v>
      </c>
      <c r="Q20" t="s">
        <v>103</v>
      </c>
      <c r="R20" t="s">
        <v>94</v>
      </c>
      <c r="S20" t="s">
        <v>113</v>
      </c>
      <c r="T20" t="s">
        <v>73</v>
      </c>
      <c r="V20" t="s">
        <v>96</v>
      </c>
      <c r="Z20" t="str">
        <f>_xlfn.TEXTJOIN(",",TRUE,Table1[[#This Row],[Col5]],Table1[[#This Row],[Col4]],Table1[[#This Row],[Col3]],Table1[[#This Row],[Col2]],Table1[[#This Row],[Col1]])</f>
        <v>Snacks and Beverages</v>
      </c>
      <c r="AA20" t="s">
        <v>81</v>
      </c>
      <c r="AB20" t="s">
        <v>80</v>
      </c>
      <c r="AC20" t="s">
        <v>79</v>
      </c>
      <c r="AD20" t="s">
        <v>80</v>
      </c>
      <c r="AE20" t="s">
        <v>101</v>
      </c>
      <c r="AF20" t="s">
        <v>81</v>
      </c>
      <c r="AG20" t="s">
        <v>80</v>
      </c>
      <c r="AH20" t="s">
        <v>80</v>
      </c>
      <c r="AI20" t="s">
        <v>80</v>
      </c>
      <c r="AJ20" t="s">
        <v>80</v>
      </c>
      <c r="AK20">
        <v>3</v>
      </c>
      <c r="AL20">
        <v>3</v>
      </c>
      <c r="AM20">
        <v>1</v>
      </c>
      <c r="AN20" t="s">
        <v>115</v>
      </c>
    </row>
    <row r="21" spans="1:60" x14ac:dyDescent="0.35">
      <c r="A21">
        <v>38</v>
      </c>
      <c r="B21" t="str" cm="1">
        <f t="array" ref="B21">_xlfn.IFS(A21&lt;=25,"18-25",A21&lt;=33,"26-33",A21&lt;=41,"34-41",A21&lt;=49,"42-49",A21&gt;49,"50 or above")</f>
        <v>34-41</v>
      </c>
      <c r="C21" t="s">
        <v>62</v>
      </c>
      <c r="D21" t="s">
        <v>105</v>
      </c>
      <c r="E21" t="s">
        <v>86</v>
      </c>
      <c r="F21" t="s">
        <v>65</v>
      </c>
      <c r="G21" t="s">
        <v>66</v>
      </c>
      <c r="H21" t="s">
        <v>66</v>
      </c>
      <c r="I21">
        <v>1</v>
      </c>
      <c r="J21" t="s">
        <v>67</v>
      </c>
      <c r="K21" t="s">
        <v>68</v>
      </c>
      <c r="L21" t="s">
        <v>69</v>
      </c>
      <c r="M21" t="s">
        <v>100</v>
      </c>
      <c r="P21" t="s">
        <v>93</v>
      </c>
      <c r="Q21" t="s">
        <v>70</v>
      </c>
      <c r="R21" t="s">
        <v>71</v>
      </c>
      <c r="S21" t="s">
        <v>95</v>
      </c>
      <c r="T21" t="s">
        <v>112</v>
      </c>
      <c r="V21" t="s">
        <v>96</v>
      </c>
      <c r="W21" t="s">
        <v>76</v>
      </c>
      <c r="X21" t="s">
        <v>77</v>
      </c>
      <c r="Z21" t="str">
        <f>_xlfn.TEXTJOIN(",",TRUE,Table1[[#This Row],[Col5]],Table1[[#This Row],[Col4]],Table1[[#This Row],[Col3]],Table1[[#This Row],[Col2]],Table1[[#This Row],[Col1]])</f>
        <v xml:space="preserve"> Personal Care, Daily Essentials,Snacks and Beverages</v>
      </c>
      <c r="AA21" t="s">
        <v>78</v>
      </c>
      <c r="AB21" t="s">
        <v>78</v>
      </c>
      <c r="AC21" t="s">
        <v>78</v>
      </c>
      <c r="AD21" t="s">
        <v>78</v>
      </c>
      <c r="AE21" t="s">
        <v>80</v>
      </c>
      <c r="AF21" t="s">
        <v>80</v>
      </c>
      <c r="AG21" t="s">
        <v>78</v>
      </c>
      <c r="AH21" t="s">
        <v>78</v>
      </c>
      <c r="AI21" t="s">
        <v>78</v>
      </c>
      <c r="AJ21" t="s">
        <v>80</v>
      </c>
      <c r="AK21">
        <v>5</v>
      </c>
      <c r="AL21">
        <v>5</v>
      </c>
      <c r="AM21">
        <v>5</v>
      </c>
      <c r="AN21" t="s">
        <v>82</v>
      </c>
    </row>
    <row r="22" spans="1:60" x14ac:dyDescent="0.35">
      <c r="A22">
        <v>40</v>
      </c>
      <c r="B22" t="str" cm="1">
        <f t="array" ref="B22">_xlfn.IFS(A22&lt;=25,"18-25",A22&lt;=33,"26-33",A22&lt;=41,"34-41",A22&lt;=49,"42-49",A22&gt;49,"50 or above")</f>
        <v>34-41</v>
      </c>
      <c r="C22" t="s">
        <v>62</v>
      </c>
      <c r="D22" t="s">
        <v>116</v>
      </c>
      <c r="E22" t="s">
        <v>86</v>
      </c>
      <c r="F22" t="s">
        <v>65</v>
      </c>
      <c r="G22" t="s">
        <v>66</v>
      </c>
      <c r="H22" t="s">
        <v>66</v>
      </c>
      <c r="I22">
        <v>1</v>
      </c>
      <c r="O22" t="s">
        <v>111</v>
      </c>
      <c r="P22" t="s">
        <v>111</v>
      </c>
      <c r="Q22" t="s">
        <v>117</v>
      </c>
      <c r="R22" t="s">
        <v>71</v>
      </c>
      <c r="S22" t="s">
        <v>72</v>
      </c>
      <c r="T22" t="s">
        <v>73</v>
      </c>
      <c r="U22" t="s">
        <v>74</v>
      </c>
      <c r="W22" t="s">
        <v>76</v>
      </c>
      <c r="Z22" t="str">
        <f>_xlfn.TEXTJOIN(",",TRUE,Table1[[#This Row],[Col5]],Table1[[#This Row],[Col4]],Table1[[#This Row],[Col3]],Table1[[#This Row],[Col2]],Table1[[#This Row],[Col1]])</f>
        <v xml:space="preserve"> Daily Essentials,Groceries</v>
      </c>
      <c r="AA22" t="s">
        <v>80</v>
      </c>
      <c r="AB22" t="s">
        <v>80</v>
      </c>
      <c r="AC22" t="s">
        <v>80</v>
      </c>
      <c r="AD22" t="s">
        <v>80</v>
      </c>
      <c r="AE22" t="s">
        <v>80</v>
      </c>
      <c r="AF22" t="s">
        <v>80</v>
      </c>
      <c r="AG22" t="s">
        <v>80</v>
      </c>
      <c r="AH22" t="s">
        <v>80</v>
      </c>
      <c r="AI22" t="s">
        <v>80</v>
      </c>
      <c r="AJ22" t="s">
        <v>80</v>
      </c>
      <c r="AK22">
        <v>5</v>
      </c>
      <c r="AL22">
        <v>5</v>
      </c>
      <c r="AM22">
        <v>5</v>
      </c>
      <c r="AN22" t="s">
        <v>104</v>
      </c>
    </row>
    <row r="23" spans="1:60" x14ac:dyDescent="0.35">
      <c r="A23">
        <v>38</v>
      </c>
      <c r="B23" t="str" cm="1">
        <f t="array" ref="B23">_xlfn.IFS(A23&lt;=25,"18-25",A23&lt;=33,"26-33",A23&lt;=41,"34-41",A23&lt;=49,"42-49",A23&gt;49,"50 or above")</f>
        <v>34-41</v>
      </c>
      <c r="C23" t="s">
        <v>62</v>
      </c>
      <c r="D23" t="s">
        <v>105</v>
      </c>
      <c r="E23" t="s">
        <v>109</v>
      </c>
      <c r="F23" t="s">
        <v>102</v>
      </c>
      <c r="G23" t="s">
        <v>66</v>
      </c>
      <c r="H23" t="s">
        <v>66</v>
      </c>
      <c r="I23">
        <v>1</v>
      </c>
      <c r="J23" t="s">
        <v>67</v>
      </c>
      <c r="P23" t="s">
        <v>67</v>
      </c>
      <c r="Q23" t="s">
        <v>70</v>
      </c>
      <c r="R23" t="s">
        <v>110</v>
      </c>
      <c r="S23" t="s">
        <v>72</v>
      </c>
      <c r="T23" t="s">
        <v>73</v>
      </c>
      <c r="U23" t="s">
        <v>74</v>
      </c>
      <c r="Y23" t="s">
        <v>108</v>
      </c>
      <c r="Z23" t="str">
        <f>_xlfn.TEXTJOIN(",",TRUE,Table1[[#This Row],[Col5]],Table1[[#This Row],[Col4]],Table1[[#This Row],[Col3]],Table1[[#This Row],[Col2]],Table1[[#This Row],[Col1]])</f>
        <v xml:space="preserve"> Medicines,Groceries</v>
      </c>
      <c r="AA23" t="s">
        <v>78</v>
      </c>
      <c r="AB23" t="s">
        <v>78</v>
      </c>
      <c r="AC23" t="s">
        <v>78</v>
      </c>
      <c r="AD23" t="s">
        <v>78</v>
      </c>
      <c r="AE23" t="s">
        <v>78</v>
      </c>
      <c r="AF23" t="s">
        <v>78</v>
      </c>
      <c r="AG23" t="s">
        <v>78</v>
      </c>
      <c r="AH23" t="s">
        <v>78</v>
      </c>
      <c r="AI23" t="s">
        <v>78</v>
      </c>
      <c r="AJ23" t="s">
        <v>78</v>
      </c>
      <c r="AK23">
        <v>3</v>
      </c>
      <c r="AL23">
        <v>3</v>
      </c>
      <c r="AM23">
        <v>3</v>
      </c>
      <c r="AN23" t="s">
        <v>104</v>
      </c>
    </row>
    <row r="24" spans="1:60" x14ac:dyDescent="0.35">
      <c r="A24">
        <v>37</v>
      </c>
      <c r="B24" t="str" cm="1">
        <f t="array" ref="B24">_xlfn.IFS(A24&lt;=25,"18-25",A24&lt;=33,"26-33",A24&lt;=41,"34-41",A24&lt;=49,"42-49",A24&gt;49,"50 or above")</f>
        <v>34-41</v>
      </c>
      <c r="C24" t="s">
        <v>62</v>
      </c>
      <c r="D24" t="s">
        <v>116</v>
      </c>
      <c r="E24" t="s">
        <v>86</v>
      </c>
      <c r="F24" t="s">
        <v>102</v>
      </c>
      <c r="G24" t="s">
        <v>66</v>
      </c>
      <c r="H24" t="s">
        <v>66</v>
      </c>
      <c r="I24">
        <v>1</v>
      </c>
      <c r="J24" t="s">
        <v>67</v>
      </c>
      <c r="K24" t="s">
        <v>68</v>
      </c>
      <c r="L24" t="s">
        <v>69</v>
      </c>
      <c r="P24" t="s">
        <v>67</v>
      </c>
      <c r="Q24" t="s">
        <v>70</v>
      </c>
      <c r="R24" t="s">
        <v>92</v>
      </c>
      <c r="S24" t="s">
        <v>107</v>
      </c>
      <c r="T24" t="s">
        <v>73</v>
      </c>
      <c r="V24" t="s">
        <v>96</v>
      </c>
      <c r="W24" t="s">
        <v>76</v>
      </c>
      <c r="Z24" t="str">
        <f>_xlfn.TEXTJOIN(",",TRUE,Table1[[#This Row],[Col5]],Table1[[#This Row],[Col4]],Table1[[#This Row],[Col3]],Table1[[#This Row],[Col2]],Table1[[#This Row],[Col1]])</f>
        <v xml:space="preserve"> Daily Essentials,Snacks and Beverages</v>
      </c>
      <c r="AA24" t="s">
        <v>80</v>
      </c>
      <c r="AB24" t="s">
        <v>80</v>
      </c>
      <c r="AC24" t="s">
        <v>80</v>
      </c>
      <c r="AD24" t="s">
        <v>81</v>
      </c>
      <c r="AE24" t="s">
        <v>80</v>
      </c>
      <c r="AF24" t="s">
        <v>80</v>
      </c>
      <c r="AG24" t="s">
        <v>80</v>
      </c>
      <c r="AH24" t="s">
        <v>81</v>
      </c>
      <c r="AI24" t="s">
        <v>80</v>
      </c>
      <c r="AJ24" t="s">
        <v>81</v>
      </c>
      <c r="AK24">
        <v>3</v>
      </c>
      <c r="AL24">
        <v>3</v>
      </c>
      <c r="AM24">
        <v>3</v>
      </c>
      <c r="AN24" t="s">
        <v>104</v>
      </c>
    </row>
    <row r="25" spans="1:60" x14ac:dyDescent="0.35">
      <c r="A25">
        <v>22</v>
      </c>
      <c r="B25" t="str" cm="1">
        <f t="array" ref="B25">_xlfn.IFS(A25&lt;=25,"18-25",A25&lt;=33,"26-33",A25&lt;=41,"34-41",A25&lt;=49,"42-49",A25&gt;49,"50 or above")</f>
        <v>18-25</v>
      </c>
      <c r="C25" t="s">
        <v>89</v>
      </c>
      <c r="D25" t="s">
        <v>105</v>
      </c>
      <c r="E25" t="s">
        <v>64</v>
      </c>
      <c r="F25" t="s">
        <v>87</v>
      </c>
      <c r="G25" t="s">
        <v>66</v>
      </c>
      <c r="H25" t="s">
        <v>66</v>
      </c>
      <c r="I25">
        <v>1</v>
      </c>
      <c r="J25" t="s">
        <v>67</v>
      </c>
      <c r="K25" t="s">
        <v>68</v>
      </c>
      <c r="L25" t="s">
        <v>69</v>
      </c>
      <c r="P25" t="s">
        <v>67</v>
      </c>
      <c r="Q25" t="s">
        <v>70</v>
      </c>
      <c r="R25" t="s">
        <v>92</v>
      </c>
      <c r="S25" t="s">
        <v>113</v>
      </c>
      <c r="T25" t="s">
        <v>73</v>
      </c>
      <c r="U25" t="s">
        <v>74</v>
      </c>
      <c r="Z25" t="str">
        <f>_xlfn.TEXTJOIN(",",TRUE,Table1[[#This Row],[Col5]],Table1[[#This Row],[Col4]],Table1[[#This Row],[Col3]],Table1[[#This Row],[Col2]],Table1[[#This Row],[Col1]])</f>
        <v>Groceries</v>
      </c>
      <c r="AA25" t="s">
        <v>80</v>
      </c>
      <c r="AB25" t="s">
        <v>80</v>
      </c>
      <c r="AC25" t="s">
        <v>80</v>
      </c>
      <c r="AD25" t="s">
        <v>80</v>
      </c>
      <c r="AE25" t="s">
        <v>81</v>
      </c>
      <c r="AF25" t="s">
        <v>80</v>
      </c>
      <c r="AG25" t="s">
        <v>78</v>
      </c>
      <c r="AH25" t="s">
        <v>80</v>
      </c>
      <c r="AI25" t="s">
        <v>80</v>
      </c>
      <c r="AJ25" t="s">
        <v>81</v>
      </c>
      <c r="AK25">
        <v>4</v>
      </c>
      <c r="AL25">
        <v>4</v>
      </c>
      <c r="AM25">
        <v>4</v>
      </c>
      <c r="AN25" t="s">
        <v>104</v>
      </c>
    </row>
    <row r="26" spans="1:60" x14ac:dyDescent="0.35">
      <c r="A26">
        <v>19</v>
      </c>
      <c r="B26" t="str" cm="1">
        <f t="array" ref="B26">_xlfn.IFS(A26&lt;=25,"18-25",A26&lt;=33,"26-33",A26&lt;=41,"34-41",A26&lt;=49,"42-49",A26&gt;49,"50 or above")</f>
        <v>18-25</v>
      </c>
      <c r="C26" t="s">
        <v>62</v>
      </c>
      <c r="D26" t="s">
        <v>63</v>
      </c>
      <c r="E26" t="s">
        <v>64</v>
      </c>
      <c r="F26" t="s">
        <v>87</v>
      </c>
      <c r="G26" t="s">
        <v>66</v>
      </c>
      <c r="H26" t="s">
        <v>66</v>
      </c>
      <c r="I26">
        <v>1</v>
      </c>
      <c r="J26" t="s">
        <v>67</v>
      </c>
      <c r="K26" t="s">
        <v>68</v>
      </c>
      <c r="L26" t="s">
        <v>69</v>
      </c>
      <c r="P26" t="s">
        <v>67</v>
      </c>
      <c r="Q26" t="s">
        <v>103</v>
      </c>
      <c r="R26" t="s">
        <v>94</v>
      </c>
      <c r="S26" t="s">
        <v>72</v>
      </c>
      <c r="T26" t="s">
        <v>73</v>
      </c>
      <c r="U26" t="s">
        <v>74</v>
      </c>
      <c r="V26" t="s">
        <v>75</v>
      </c>
      <c r="Z26" t="str">
        <f>_xlfn.TEXTJOIN(",",TRUE,Table1[[#This Row],[Col5]],Table1[[#This Row],[Col4]],Table1[[#This Row],[Col3]],Table1[[#This Row],[Col2]],Table1[[#This Row],[Col1]])</f>
        <v xml:space="preserve"> Snacks and Beverages,Groceries</v>
      </c>
      <c r="AA26" t="s">
        <v>80</v>
      </c>
      <c r="AB26" t="s">
        <v>80</v>
      </c>
      <c r="AC26" t="s">
        <v>81</v>
      </c>
      <c r="AD26" t="s">
        <v>80</v>
      </c>
      <c r="AE26" t="s">
        <v>81</v>
      </c>
      <c r="AF26" t="s">
        <v>80</v>
      </c>
      <c r="AG26" t="s">
        <v>80</v>
      </c>
      <c r="AH26" t="s">
        <v>81</v>
      </c>
      <c r="AI26" t="s">
        <v>80</v>
      </c>
      <c r="AJ26" t="s">
        <v>81</v>
      </c>
      <c r="AK26">
        <v>3</v>
      </c>
      <c r="AL26">
        <v>3</v>
      </c>
      <c r="AM26">
        <v>4</v>
      </c>
      <c r="AN26" t="s">
        <v>115</v>
      </c>
      <c r="AR26" t="s">
        <v>118</v>
      </c>
    </row>
    <row r="27" spans="1:60" x14ac:dyDescent="0.35">
      <c r="A27">
        <v>18</v>
      </c>
      <c r="B27" t="str" cm="1">
        <f t="array" ref="B27">_xlfn.IFS(A27&lt;=25,"18-25",A27&lt;=33,"26-33",A27&lt;=41,"34-41",A27&lt;=49,"42-49",A27&gt;49,"50 or above")</f>
        <v>18-25</v>
      </c>
      <c r="C27" t="s">
        <v>62</v>
      </c>
      <c r="D27" t="s">
        <v>119</v>
      </c>
      <c r="E27" t="s">
        <v>64</v>
      </c>
      <c r="F27" t="s">
        <v>90</v>
      </c>
      <c r="G27" t="s">
        <v>66</v>
      </c>
      <c r="H27" t="s">
        <v>88</v>
      </c>
      <c r="I27">
        <v>0</v>
      </c>
      <c r="Z27" t="str">
        <f>_xlfn.TEXTJOIN(",",TRUE,Table1[[#This Row],[Col5]],Table1[[#This Row],[Col4]],Table1[[#This Row],[Col3]],Table1[[#This Row],[Col2]],Table1[[#This Row],[Col1]])</f>
        <v/>
      </c>
      <c r="AY27" t="s">
        <v>66</v>
      </c>
      <c r="AZ27" t="s">
        <v>66</v>
      </c>
      <c r="BA27" t="s">
        <v>66</v>
      </c>
      <c r="BB27" t="s">
        <v>80</v>
      </c>
      <c r="BC27" t="s">
        <v>78</v>
      </c>
      <c r="BD27" t="s">
        <v>80</v>
      </c>
      <c r="BE27" t="s">
        <v>81</v>
      </c>
      <c r="BF27" t="s">
        <v>80</v>
      </c>
      <c r="BG27" t="s">
        <v>101</v>
      </c>
      <c r="BH27" t="s">
        <v>78</v>
      </c>
    </row>
    <row r="28" spans="1:60" x14ac:dyDescent="0.35">
      <c r="A28">
        <v>40</v>
      </c>
      <c r="B28" t="str" cm="1">
        <f t="array" ref="B28">_xlfn.IFS(A28&lt;=25,"18-25",A28&lt;=33,"26-33",A28&lt;=41,"34-41",A28&lt;=49,"42-49",A28&gt;49,"50 or above")</f>
        <v>34-41</v>
      </c>
      <c r="C28" t="s">
        <v>89</v>
      </c>
      <c r="D28" t="s">
        <v>120</v>
      </c>
      <c r="E28" t="s">
        <v>121</v>
      </c>
      <c r="F28" t="s">
        <v>90</v>
      </c>
      <c r="G28" t="s">
        <v>66</v>
      </c>
      <c r="H28" t="s">
        <v>66</v>
      </c>
      <c r="I28">
        <v>1</v>
      </c>
      <c r="J28" t="s">
        <v>67</v>
      </c>
      <c r="P28" t="s">
        <v>67</v>
      </c>
      <c r="Q28" t="s">
        <v>70</v>
      </c>
      <c r="R28" t="s">
        <v>92</v>
      </c>
      <c r="S28" t="s">
        <v>107</v>
      </c>
      <c r="T28" t="s">
        <v>99</v>
      </c>
      <c r="U28" t="s">
        <v>74</v>
      </c>
      <c r="Z28" t="str">
        <f>_xlfn.TEXTJOIN(",",TRUE,Table1[[#This Row],[Col5]],Table1[[#This Row],[Col4]],Table1[[#This Row],[Col3]],Table1[[#This Row],[Col2]],Table1[[#This Row],[Col1]])</f>
        <v>Groceries</v>
      </c>
      <c r="AA28" t="s">
        <v>80</v>
      </c>
      <c r="AB28" t="s">
        <v>80</v>
      </c>
      <c r="AC28" t="s">
        <v>81</v>
      </c>
      <c r="AD28" t="s">
        <v>79</v>
      </c>
      <c r="AE28" t="s">
        <v>79</v>
      </c>
      <c r="AF28" t="s">
        <v>79</v>
      </c>
      <c r="AG28" t="s">
        <v>80</v>
      </c>
      <c r="AH28" t="s">
        <v>81</v>
      </c>
      <c r="AI28" t="s">
        <v>81</v>
      </c>
      <c r="AJ28" t="s">
        <v>79</v>
      </c>
      <c r="AK28">
        <v>3</v>
      </c>
      <c r="AL28">
        <v>3</v>
      </c>
      <c r="AM28">
        <v>2</v>
      </c>
      <c r="AN28" t="s">
        <v>104</v>
      </c>
    </row>
    <row r="29" spans="1:60" x14ac:dyDescent="0.35">
      <c r="A29">
        <v>22</v>
      </c>
      <c r="B29" t="str" cm="1">
        <f t="array" ref="B29">_xlfn.IFS(A29&lt;=25,"18-25",A29&lt;=33,"26-33",A29&lt;=41,"34-41",A29&lt;=49,"42-49",A29&gt;49,"50 or above")</f>
        <v>18-25</v>
      </c>
      <c r="C29" t="s">
        <v>89</v>
      </c>
      <c r="D29" t="s">
        <v>105</v>
      </c>
      <c r="E29" t="s">
        <v>64</v>
      </c>
      <c r="F29" t="s">
        <v>65</v>
      </c>
      <c r="G29" t="s">
        <v>66</v>
      </c>
      <c r="H29" t="s">
        <v>66</v>
      </c>
      <c r="I29">
        <v>1</v>
      </c>
      <c r="J29" t="s">
        <v>67</v>
      </c>
      <c r="K29" t="s">
        <v>68</v>
      </c>
      <c r="L29" t="s">
        <v>69</v>
      </c>
      <c r="M29" t="s">
        <v>122</v>
      </c>
      <c r="O29" t="s">
        <v>123</v>
      </c>
      <c r="P29" t="s">
        <v>67</v>
      </c>
      <c r="Q29" t="s">
        <v>70</v>
      </c>
      <c r="R29" t="s">
        <v>92</v>
      </c>
      <c r="S29" t="s">
        <v>72</v>
      </c>
      <c r="T29" t="s">
        <v>73</v>
      </c>
      <c r="U29" t="s">
        <v>74</v>
      </c>
      <c r="V29" t="s">
        <v>75</v>
      </c>
      <c r="W29" t="s">
        <v>76</v>
      </c>
      <c r="X29" t="s">
        <v>77</v>
      </c>
      <c r="Z29" t="str">
        <f>_xlfn.TEXTJOIN(",",TRUE,Table1[[#This Row],[Col5]],Table1[[#This Row],[Col4]],Table1[[#This Row],[Col3]],Table1[[#This Row],[Col2]],Table1[[#This Row],[Col1]])</f>
        <v xml:space="preserve"> Personal Care, Daily Essentials, Snacks and Beverages,Groceries</v>
      </c>
      <c r="AA29" t="s">
        <v>78</v>
      </c>
      <c r="AB29" t="s">
        <v>80</v>
      </c>
      <c r="AC29" t="s">
        <v>80</v>
      </c>
      <c r="AD29" t="s">
        <v>80</v>
      </c>
      <c r="AE29" t="s">
        <v>81</v>
      </c>
      <c r="AF29" t="s">
        <v>78</v>
      </c>
      <c r="AG29" t="s">
        <v>78</v>
      </c>
      <c r="AH29" t="s">
        <v>80</v>
      </c>
      <c r="AI29" t="s">
        <v>78</v>
      </c>
      <c r="AJ29" t="s">
        <v>78</v>
      </c>
      <c r="AK29">
        <v>5</v>
      </c>
      <c r="AL29">
        <v>5</v>
      </c>
      <c r="AM29">
        <v>5</v>
      </c>
      <c r="AN29" t="s">
        <v>82</v>
      </c>
      <c r="AP29" t="s">
        <v>84</v>
      </c>
      <c r="AR29" t="s">
        <v>118</v>
      </c>
      <c r="AS29" t="s">
        <v>124</v>
      </c>
    </row>
    <row r="30" spans="1:60" x14ac:dyDescent="0.35">
      <c r="A30">
        <v>18</v>
      </c>
      <c r="B30" t="str" cm="1">
        <f t="array" ref="B30">_xlfn.IFS(A30&lt;=25,"18-25",A30&lt;=33,"26-33",A30&lt;=41,"34-41",A30&lt;=49,"42-49",A30&gt;49,"50 or above")</f>
        <v>18-25</v>
      </c>
      <c r="C30" t="s">
        <v>62</v>
      </c>
      <c r="D30" t="s">
        <v>63</v>
      </c>
      <c r="E30" t="s">
        <v>64</v>
      </c>
      <c r="F30" t="s">
        <v>65</v>
      </c>
      <c r="G30" t="s">
        <v>66</v>
      </c>
      <c r="H30" t="s">
        <v>88</v>
      </c>
      <c r="I30">
        <v>0</v>
      </c>
      <c r="Z30" t="str">
        <f>_xlfn.TEXTJOIN(",",TRUE,Table1[[#This Row],[Col5]],Table1[[#This Row],[Col4]],Table1[[#This Row],[Col3]],Table1[[#This Row],[Col2]],Table1[[#This Row],[Col1]])</f>
        <v/>
      </c>
      <c r="AY30" t="s">
        <v>125</v>
      </c>
      <c r="AZ30" t="s">
        <v>125</v>
      </c>
      <c r="BA30" t="s">
        <v>66</v>
      </c>
      <c r="BB30" t="s">
        <v>81</v>
      </c>
      <c r="BC30" t="s">
        <v>80</v>
      </c>
      <c r="BD30" t="s">
        <v>80</v>
      </c>
      <c r="BE30" t="s">
        <v>81</v>
      </c>
      <c r="BF30" t="s">
        <v>80</v>
      </c>
      <c r="BG30" t="s">
        <v>81</v>
      </c>
      <c r="BH30" t="s">
        <v>80</v>
      </c>
    </row>
    <row r="31" spans="1:60" x14ac:dyDescent="0.35">
      <c r="A31">
        <v>20</v>
      </c>
      <c r="B31" t="str" cm="1">
        <f t="array" ref="B31">_xlfn.IFS(A31&lt;=25,"18-25",A31&lt;=33,"26-33",A31&lt;=41,"34-41",A31&lt;=49,"42-49",A31&gt;49,"50 or above")</f>
        <v>18-25</v>
      </c>
      <c r="C31" t="s">
        <v>89</v>
      </c>
      <c r="D31" t="s">
        <v>63</v>
      </c>
      <c r="E31" t="s">
        <v>64</v>
      </c>
      <c r="F31" t="s">
        <v>90</v>
      </c>
      <c r="G31" t="s">
        <v>66</v>
      </c>
      <c r="H31" t="s">
        <v>66</v>
      </c>
      <c r="I31">
        <v>1</v>
      </c>
      <c r="J31" t="s">
        <v>67</v>
      </c>
      <c r="K31" t="s">
        <v>68</v>
      </c>
      <c r="L31" t="s">
        <v>69</v>
      </c>
      <c r="P31" t="s">
        <v>67</v>
      </c>
      <c r="Q31" t="s">
        <v>117</v>
      </c>
      <c r="R31" t="s">
        <v>94</v>
      </c>
      <c r="S31" t="s">
        <v>72</v>
      </c>
      <c r="T31" t="s">
        <v>99</v>
      </c>
      <c r="U31" t="s">
        <v>74</v>
      </c>
      <c r="V31" t="s">
        <v>75</v>
      </c>
      <c r="Z31" t="str">
        <f>_xlfn.TEXTJOIN(",",TRUE,Table1[[#This Row],[Col5]],Table1[[#This Row],[Col4]],Table1[[#This Row],[Col3]],Table1[[#This Row],[Col2]],Table1[[#This Row],[Col1]])</f>
        <v xml:space="preserve"> Snacks and Beverages,Groceries</v>
      </c>
      <c r="AA31" t="s">
        <v>80</v>
      </c>
      <c r="AB31" t="s">
        <v>80</v>
      </c>
      <c r="AC31" t="s">
        <v>79</v>
      </c>
      <c r="AD31" t="s">
        <v>81</v>
      </c>
      <c r="AE31" t="s">
        <v>81</v>
      </c>
      <c r="AF31" t="s">
        <v>80</v>
      </c>
      <c r="AG31" t="s">
        <v>79</v>
      </c>
      <c r="AH31" t="s">
        <v>80</v>
      </c>
      <c r="AI31" t="s">
        <v>81</v>
      </c>
      <c r="AJ31" t="s">
        <v>81</v>
      </c>
      <c r="AK31">
        <v>3</v>
      </c>
      <c r="AL31">
        <v>1</v>
      </c>
      <c r="AM31">
        <v>2</v>
      </c>
      <c r="AN31" t="s">
        <v>115</v>
      </c>
    </row>
    <row r="32" spans="1:60" x14ac:dyDescent="0.35">
      <c r="A32">
        <v>20</v>
      </c>
      <c r="B32" t="str" cm="1">
        <f t="array" ref="B32">_xlfn.IFS(A32&lt;=25,"18-25",A32&lt;=33,"26-33",A32&lt;=41,"34-41",A32&lt;=49,"42-49",A32&gt;49,"50 or above")</f>
        <v>18-25</v>
      </c>
      <c r="C32" t="s">
        <v>62</v>
      </c>
      <c r="D32" t="s">
        <v>63</v>
      </c>
      <c r="E32" t="s">
        <v>64</v>
      </c>
      <c r="F32" t="s">
        <v>87</v>
      </c>
      <c r="G32" t="s">
        <v>66</v>
      </c>
      <c r="H32" t="s">
        <v>66</v>
      </c>
      <c r="I32">
        <v>1</v>
      </c>
      <c r="J32" t="s">
        <v>67</v>
      </c>
      <c r="K32" t="s">
        <v>68</v>
      </c>
      <c r="L32" t="s">
        <v>69</v>
      </c>
      <c r="P32" t="s">
        <v>67</v>
      </c>
      <c r="Q32" t="s">
        <v>117</v>
      </c>
      <c r="R32" t="s">
        <v>92</v>
      </c>
      <c r="S32" t="s">
        <v>113</v>
      </c>
      <c r="T32" t="s">
        <v>73</v>
      </c>
      <c r="U32" t="s">
        <v>74</v>
      </c>
      <c r="V32" t="s">
        <v>75</v>
      </c>
      <c r="Z32" t="str">
        <f>_xlfn.TEXTJOIN(",",TRUE,Table1[[#This Row],[Col5]],Table1[[#This Row],[Col4]],Table1[[#This Row],[Col3]],Table1[[#This Row],[Col2]],Table1[[#This Row],[Col1]])</f>
        <v xml:space="preserve"> Snacks and Beverages,Groceries</v>
      </c>
      <c r="AA32" t="s">
        <v>78</v>
      </c>
      <c r="AB32" t="s">
        <v>78</v>
      </c>
      <c r="AC32" t="s">
        <v>80</v>
      </c>
      <c r="AD32" t="s">
        <v>78</v>
      </c>
      <c r="AE32" t="s">
        <v>81</v>
      </c>
      <c r="AF32" t="s">
        <v>80</v>
      </c>
      <c r="AG32" t="s">
        <v>78</v>
      </c>
      <c r="AH32" t="s">
        <v>81</v>
      </c>
      <c r="AI32" t="s">
        <v>80</v>
      </c>
      <c r="AJ32" t="s">
        <v>81</v>
      </c>
      <c r="AK32">
        <v>5</v>
      </c>
      <c r="AL32">
        <v>4</v>
      </c>
      <c r="AM32">
        <v>4</v>
      </c>
      <c r="AN32" t="s">
        <v>104</v>
      </c>
      <c r="AP32" t="s">
        <v>126</v>
      </c>
    </row>
    <row r="33" spans="1:60" x14ac:dyDescent="0.35">
      <c r="A33">
        <v>35</v>
      </c>
      <c r="B33" t="str" cm="1">
        <f t="array" ref="B33">_xlfn.IFS(A33&lt;=25,"18-25",A33&lt;=33,"26-33",A33&lt;=41,"34-41",A33&lt;=49,"42-49",A33&gt;49,"50 or above")</f>
        <v>34-41</v>
      </c>
      <c r="C33" t="s">
        <v>89</v>
      </c>
      <c r="D33" t="s">
        <v>63</v>
      </c>
      <c r="E33" t="s">
        <v>121</v>
      </c>
      <c r="F33" t="s">
        <v>90</v>
      </c>
      <c r="G33" t="s">
        <v>66</v>
      </c>
      <c r="H33" t="s">
        <v>88</v>
      </c>
      <c r="I33">
        <v>0</v>
      </c>
      <c r="Z33" t="str">
        <f>_xlfn.TEXTJOIN(",",TRUE,Table1[[#This Row],[Col5]],Table1[[#This Row],[Col4]],Table1[[#This Row],[Col3]],Table1[[#This Row],[Col2]],Table1[[#This Row],[Col1]])</f>
        <v/>
      </c>
      <c r="AY33" t="s">
        <v>125</v>
      </c>
      <c r="AZ33" t="s">
        <v>125</v>
      </c>
      <c r="BA33" t="s">
        <v>66</v>
      </c>
      <c r="BB33" t="s">
        <v>80</v>
      </c>
      <c r="BC33" t="s">
        <v>80</v>
      </c>
      <c r="BD33" t="s">
        <v>81</v>
      </c>
      <c r="BE33" t="s">
        <v>80</v>
      </c>
      <c r="BF33" t="s">
        <v>81</v>
      </c>
      <c r="BG33" t="s">
        <v>80</v>
      </c>
      <c r="BH33" t="s">
        <v>80</v>
      </c>
    </row>
    <row r="34" spans="1:60" x14ac:dyDescent="0.35">
      <c r="A34">
        <v>25</v>
      </c>
      <c r="B34" t="str" cm="1">
        <f t="array" ref="B34">_xlfn.IFS(A34&lt;=25,"18-25",A34&lt;=33,"26-33",A34&lt;=41,"34-41",A34&lt;=49,"42-49",A34&gt;49,"50 or above")</f>
        <v>18-25</v>
      </c>
      <c r="C34" t="s">
        <v>62</v>
      </c>
      <c r="D34" t="s">
        <v>116</v>
      </c>
      <c r="E34" t="s">
        <v>109</v>
      </c>
      <c r="F34" t="s">
        <v>102</v>
      </c>
      <c r="G34" t="s">
        <v>66</v>
      </c>
      <c r="H34" t="s">
        <v>66</v>
      </c>
      <c r="I34">
        <v>1</v>
      </c>
      <c r="J34" t="s">
        <v>67</v>
      </c>
      <c r="K34" t="s">
        <v>68</v>
      </c>
      <c r="L34" t="s">
        <v>69</v>
      </c>
      <c r="P34" t="s">
        <v>67</v>
      </c>
      <c r="Q34" t="s">
        <v>70</v>
      </c>
      <c r="R34" t="s">
        <v>92</v>
      </c>
      <c r="S34" t="s">
        <v>72</v>
      </c>
      <c r="T34" t="s">
        <v>73</v>
      </c>
      <c r="U34" t="s">
        <v>74</v>
      </c>
      <c r="V34" t="s">
        <v>75</v>
      </c>
      <c r="W34" t="s">
        <v>76</v>
      </c>
      <c r="X34" t="s">
        <v>77</v>
      </c>
      <c r="Z34" t="str">
        <f>_xlfn.TEXTJOIN(",",TRUE,Table1[[#This Row],[Col5]],Table1[[#This Row],[Col4]],Table1[[#This Row],[Col3]],Table1[[#This Row],[Col2]],Table1[[#This Row],[Col1]])</f>
        <v xml:space="preserve"> Personal Care, Daily Essentials, Snacks and Beverages,Groceries</v>
      </c>
      <c r="AA34" t="s">
        <v>80</v>
      </c>
      <c r="AB34" t="s">
        <v>80</v>
      </c>
      <c r="AC34" t="s">
        <v>78</v>
      </c>
      <c r="AD34" t="s">
        <v>78</v>
      </c>
      <c r="AE34" t="s">
        <v>81</v>
      </c>
      <c r="AF34" t="s">
        <v>78</v>
      </c>
      <c r="AG34" t="s">
        <v>78</v>
      </c>
      <c r="AH34" t="s">
        <v>80</v>
      </c>
      <c r="AI34" t="s">
        <v>78</v>
      </c>
      <c r="AJ34" t="s">
        <v>80</v>
      </c>
      <c r="AK34">
        <v>5</v>
      </c>
      <c r="AL34">
        <v>5</v>
      </c>
      <c r="AM34">
        <v>5</v>
      </c>
      <c r="AN34" t="s">
        <v>82</v>
      </c>
    </row>
    <row r="35" spans="1:60" x14ac:dyDescent="0.35">
      <c r="A35">
        <v>29</v>
      </c>
      <c r="B35" t="str" cm="1">
        <f t="array" ref="B35">_xlfn.IFS(A35&lt;=25,"18-25",A35&lt;=33,"26-33",A35&lt;=41,"34-41",A35&lt;=49,"42-49",A35&gt;49,"50 or above")</f>
        <v>26-33</v>
      </c>
      <c r="C35" t="s">
        <v>62</v>
      </c>
      <c r="D35" t="s">
        <v>105</v>
      </c>
      <c r="E35" t="s">
        <v>86</v>
      </c>
      <c r="F35" t="s">
        <v>90</v>
      </c>
      <c r="G35" t="s">
        <v>66</v>
      </c>
      <c r="H35" t="s">
        <v>66</v>
      </c>
      <c r="I35">
        <v>1</v>
      </c>
      <c r="J35" t="s">
        <v>67</v>
      </c>
      <c r="L35" t="s">
        <v>69</v>
      </c>
      <c r="P35" t="s">
        <v>91</v>
      </c>
      <c r="Q35" t="s">
        <v>70</v>
      </c>
      <c r="R35" t="s">
        <v>92</v>
      </c>
      <c r="S35" t="s">
        <v>107</v>
      </c>
      <c r="T35" t="s">
        <v>73</v>
      </c>
      <c r="U35" t="s">
        <v>74</v>
      </c>
      <c r="V35" t="s">
        <v>75</v>
      </c>
      <c r="W35" t="s">
        <v>76</v>
      </c>
      <c r="X35" t="s">
        <v>77</v>
      </c>
      <c r="Z35" t="str">
        <f>_xlfn.TEXTJOIN(",",TRUE,Table1[[#This Row],[Col5]],Table1[[#This Row],[Col4]],Table1[[#This Row],[Col3]],Table1[[#This Row],[Col2]],Table1[[#This Row],[Col1]])</f>
        <v xml:space="preserve"> Personal Care, Daily Essentials, Snacks and Beverages,Groceries</v>
      </c>
      <c r="AA35" t="s">
        <v>78</v>
      </c>
      <c r="AB35" t="s">
        <v>78</v>
      </c>
      <c r="AC35" t="s">
        <v>81</v>
      </c>
      <c r="AD35" t="s">
        <v>81</v>
      </c>
      <c r="AE35" t="s">
        <v>79</v>
      </c>
      <c r="AF35" t="s">
        <v>80</v>
      </c>
      <c r="AG35" t="s">
        <v>78</v>
      </c>
      <c r="AH35" t="s">
        <v>80</v>
      </c>
      <c r="AI35" t="s">
        <v>81</v>
      </c>
      <c r="AJ35" t="s">
        <v>80</v>
      </c>
      <c r="AK35">
        <v>3</v>
      </c>
      <c r="AL35">
        <v>3</v>
      </c>
      <c r="AM35">
        <v>3</v>
      </c>
      <c r="AN35" t="s">
        <v>82</v>
      </c>
    </row>
    <row r="36" spans="1:60" x14ac:dyDescent="0.35">
      <c r="A36">
        <v>29</v>
      </c>
      <c r="B36" t="str" cm="1">
        <f t="array" ref="B36">_xlfn.IFS(A36&lt;=25,"18-25",A36&lt;=33,"26-33",A36&lt;=41,"34-41",A36&lt;=49,"42-49",A36&gt;49,"50 or above")</f>
        <v>26-33</v>
      </c>
      <c r="C36" t="s">
        <v>62</v>
      </c>
      <c r="D36" t="s">
        <v>105</v>
      </c>
      <c r="E36" t="s">
        <v>86</v>
      </c>
      <c r="F36" t="s">
        <v>90</v>
      </c>
      <c r="G36" t="s">
        <v>66</v>
      </c>
      <c r="H36" t="s">
        <v>66</v>
      </c>
      <c r="I36">
        <v>1</v>
      </c>
      <c r="J36" t="s">
        <v>67</v>
      </c>
      <c r="K36" t="s">
        <v>68</v>
      </c>
      <c r="L36" t="s">
        <v>69</v>
      </c>
      <c r="P36" t="s">
        <v>67</v>
      </c>
      <c r="Q36" t="s">
        <v>98</v>
      </c>
      <c r="R36" t="s">
        <v>92</v>
      </c>
      <c r="S36" t="s">
        <v>72</v>
      </c>
      <c r="T36" t="s">
        <v>73</v>
      </c>
      <c r="U36" t="s">
        <v>74</v>
      </c>
      <c r="V36" t="s">
        <v>75</v>
      </c>
      <c r="W36" t="s">
        <v>76</v>
      </c>
      <c r="X36" t="s">
        <v>77</v>
      </c>
      <c r="Z36" t="str">
        <f>_xlfn.TEXTJOIN(",",TRUE,Table1[[#This Row],[Col5]],Table1[[#This Row],[Col4]],Table1[[#This Row],[Col3]],Table1[[#This Row],[Col2]],Table1[[#This Row],[Col1]])</f>
        <v xml:space="preserve"> Personal Care, Daily Essentials, Snacks and Beverages,Groceries</v>
      </c>
      <c r="AA36" t="s">
        <v>78</v>
      </c>
      <c r="AB36" t="s">
        <v>78</v>
      </c>
      <c r="AC36" t="s">
        <v>81</v>
      </c>
      <c r="AD36" t="s">
        <v>80</v>
      </c>
      <c r="AE36" t="s">
        <v>80</v>
      </c>
      <c r="AF36" t="s">
        <v>80</v>
      </c>
      <c r="AG36" t="s">
        <v>78</v>
      </c>
      <c r="AH36" t="s">
        <v>81</v>
      </c>
      <c r="AI36" t="s">
        <v>81</v>
      </c>
      <c r="AJ36" t="s">
        <v>78</v>
      </c>
      <c r="AK36">
        <v>4</v>
      </c>
      <c r="AL36">
        <v>5</v>
      </c>
      <c r="AM36">
        <v>4</v>
      </c>
      <c r="AN36" t="s">
        <v>82</v>
      </c>
    </row>
    <row r="37" spans="1:60" x14ac:dyDescent="0.35">
      <c r="A37">
        <v>30</v>
      </c>
      <c r="B37" t="str" cm="1">
        <f t="array" ref="B37">_xlfn.IFS(A37&lt;=25,"18-25",A37&lt;=33,"26-33",A37&lt;=41,"34-41",A37&lt;=49,"42-49",A37&gt;49,"50 or above")</f>
        <v>26-33</v>
      </c>
      <c r="C37" t="s">
        <v>89</v>
      </c>
      <c r="D37" t="s">
        <v>116</v>
      </c>
      <c r="E37" t="s">
        <v>86</v>
      </c>
      <c r="F37" t="s">
        <v>87</v>
      </c>
      <c r="G37" t="s">
        <v>66</v>
      </c>
      <c r="H37" t="s">
        <v>66</v>
      </c>
      <c r="I37">
        <v>1</v>
      </c>
      <c r="J37" t="s">
        <v>67</v>
      </c>
      <c r="K37" t="s">
        <v>68</v>
      </c>
      <c r="L37" t="s">
        <v>69</v>
      </c>
      <c r="P37" t="s">
        <v>91</v>
      </c>
      <c r="Q37" t="s">
        <v>70</v>
      </c>
      <c r="R37" t="s">
        <v>92</v>
      </c>
      <c r="S37" t="s">
        <v>72</v>
      </c>
      <c r="T37" t="s">
        <v>73</v>
      </c>
      <c r="V37" t="s">
        <v>96</v>
      </c>
      <c r="Z37" t="str">
        <f>_xlfn.TEXTJOIN(",",TRUE,Table1[[#This Row],[Col5]],Table1[[#This Row],[Col4]],Table1[[#This Row],[Col3]],Table1[[#This Row],[Col2]],Table1[[#This Row],[Col1]])</f>
        <v>Snacks and Beverages</v>
      </c>
      <c r="AA37" t="s">
        <v>81</v>
      </c>
      <c r="AB37" t="s">
        <v>80</v>
      </c>
      <c r="AC37" t="s">
        <v>80</v>
      </c>
      <c r="AD37" t="s">
        <v>80</v>
      </c>
      <c r="AE37" t="s">
        <v>81</v>
      </c>
      <c r="AF37" t="s">
        <v>81</v>
      </c>
      <c r="AG37" t="s">
        <v>80</v>
      </c>
      <c r="AH37" t="s">
        <v>80</v>
      </c>
      <c r="AI37" t="s">
        <v>80</v>
      </c>
      <c r="AJ37" t="s">
        <v>79</v>
      </c>
      <c r="AK37">
        <v>4</v>
      </c>
      <c r="AL37">
        <v>3</v>
      </c>
      <c r="AM37">
        <v>4</v>
      </c>
      <c r="AN37" t="s">
        <v>115</v>
      </c>
    </row>
    <row r="38" spans="1:60" x14ac:dyDescent="0.35">
      <c r="A38">
        <v>27</v>
      </c>
      <c r="B38" t="str" cm="1">
        <f t="array" ref="B38">_xlfn.IFS(A38&lt;=25,"18-25",A38&lt;=33,"26-33",A38&lt;=41,"34-41",A38&lt;=49,"42-49",A38&gt;49,"50 or above")</f>
        <v>26-33</v>
      </c>
      <c r="C38" t="s">
        <v>89</v>
      </c>
      <c r="D38" t="s">
        <v>105</v>
      </c>
      <c r="E38" t="s">
        <v>86</v>
      </c>
      <c r="F38" t="s">
        <v>87</v>
      </c>
      <c r="G38" t="s">
        <v>66</v>
      </c>
      <c r="H38" t="s">
        <v>66</v>
      </c>
      <c r="I38">
        <v>1</v>
      </c>
      <c r="J38" t="s">
        <v>67</v>
      </c>
      <c r="K38" t="s">
        <v>68</v>
      </c>
      <c r="L38" t="s">
        <v>69</v>
      </c>
      <c r="P38" t="s">
        <v>67</v>
      </c>
      <c r="Q38" t="s">
        <v>117</v>
      </c>
      <c r="R38" t="s">
        <v>92</v>
      </c>
      <c r="S38" t="s">
        <v>107</v>
      </c>
      <c r="T38" t="s">
        <v>73</v>
      </c>
      <c r="U38" t="s">
        <v>74</v>
      </c>
      <c r="V38" t="s">
        <v>75</v>
      </c>
      <c r="W38" t="s">
        <v>76</v>
      </c>
      <c r="Z38" t="str">
        <f>_xlfn.TEXTJOIN(",",TRUE,Table1[[#This Row],[Col5]],Table1[[#This Row],[Col4]],Table1[[#This Row],[Col3]],Table1[[#This Row],[Col2]],Table1[[#This Row],[Col1]])</f>
        <v xml:space="preserve"> Daily Essentials, Snacks and Beverages,Groceries</v>
      </c>
      <c r="AA38" t="s">
        <v>80</v>
      </c>
      <c r="AB38" t="s">
        <v>78</v>
      </c>
      <c r="AC38" t="s">
        <v>80</v>
      </c>
      <c r="AD38" t="s">
        <v>79</v>
      </c>
      <c r="AE38" t="s">
        <v>80</v>
      </c>
      <c r="AF38" t="s">
        <v>78</v>
      </c>
      <c r="AG38" t="s">
        <v>78</v>
      </c>
      <c r="AH38" t="s">
        <v>80</v>
      </c>
      <c r="AI38" t="s">
        <v>78</v>
      </c>
      <c r="AJ38" t="s">
        <v>80</v>
      </c>
      <c r="AK38">
        <v>4</v>
      </c>
      <c r="AL38">
        <v>4</v>
      </c>
      <c r="AM38">
        <v>4</v>
      </c>
      <c r="AN38" t="s">
        <v>82</v>
      </c>
    </row>
    <row r="39" spans="1:60" x14ac:dyDescent="0.35">
      <c r="A39">
        <v>23</v>
      </c>
      <c r="B39" t="str" cm="1">
        <f t="array" ref="B39">_xlfn.IFS(A39&lt;=25,"18-25",A39&lt;=33,"26-33",A39&lt;=41,"34-41",A39&lt;=49,"42-49",A39&gt;49,"50 or above")</f>
        <v>18-25</v>
      </c>
      <c r="C39" t="s">
        <v>89</v>
      </c>
      <c r="D39" t="s">
        <v>105</v>
      </c>
      <c r="E39" t="s">
        <v>64</v>
      </c>
      <c r="F39" t="s">
        <v>65</v>
      </c>
      <c r="G39" t="s">
        <v>66</v>
      </c>
      <c r="H39" t="s">
        <v>66</v>
      </c>
      <c r="I39">
        <v>1</v>
      </c>
      <c r="L39" t="s">
        <v>91</v>
      </c>
      <c r="P39" t="s">
        <v>111</v>
      </c>
      <c r="Q39" t="s">
        <v>98</v>
      </c>
      <c r="R39" t="s">
        <v>92</v>
      </c>
      <c r="S39" t="s">
        <v>72</v>
      </c>
      <c r="T39" t="s">
        <v>99</v>
      </c>
      <c r="V39" t="s">
        <v>96</v>
      </c>
      <c r="Z39" t="str">
        <f>_xlfn.TEXTJOIN(",",TRUE,Table1[[#This Row],[Col5]],Table1[[#This Row],[Col4]],Table1[[#This Row],[Col3]],Table1[[#This Row],[Col2]],Table1[[#This Row],[Col1]])</f>
        <v>Snacks and Beverages</v>
      </c>
      <c r="AA39" t="s">
        <v>81</v>
      </c>
      <c r="AB39" t="s">
        <v>80</v>
      </c>
      <c r="AC39" t="s">
        <v>80</v>
      </c>
      <c r="AD39" t="s">
        <v>80</v>
      </c>
      <c r="AE39" t="s">
        <v>81</v>
      </c>
      <c r="AF39" t="s">
        <v>80</v>
      </c>
      <c r="AG39" t="s">
        <v>80</v>
      </c>
      <c r="AH39" t="s">
        <v>80</v>
      </c>
      <c r="AI39" t="s">
        <v>80</v>
      </c>
      <c r="AJ39" t="s">
        <v>81</v>
      </c>
      <c r="AK39">
        <v>3</v>
      </c>
      <c r="AL39">
        <v>3</v>
      </c>
      <c r="AM39">
        <v>3</v>
      </c>
      <c r="AN39" t="s">
        <v>115</v>
      </c>
    </row>
    <row r="40" spans="1:60" x14ac:dyDescent="0.35">
      <c r="A40">
        <v>22</v>
      </c>
      <c r="B40" t="str" cm="1">
        <f t="array" ref="B40">_xlfn.IFS(A40&lt;=25,"18-25",A40&lt;=33,"26-33",A40&lt;=41,"34-41",A40&lt;=49,"42-49",A40&gt;49,"50 or above")</f>
        <v>18-25</v>
      </c>
      <c r="C40" t="s">
        <v>89</v>
      </c>
      <c r="D40" t="s">
        <v>105</v>
      </c>
      <c r="E40" t="s">
        <v>64</v>
      </c>
      <c r="F40" t="s">
        <v>127</v>
      </c>
      <c r="G40" t="s">
        <v>66</v>
      </c>
      <c r="H40" t="s">
        <v>66</v>
      </c>
      <c r="I40">
        <v>1</v>
      </c>
      <c r="J40" t="s">
        <v>67</v>
      </c>
      <c r="L40" t="s">
        <v>69</v>
      </c>
      <c r="P40" t="s">
        <v>91</v>
      </c>
      <c r="Q40" t="s">
        <v>117</v>
      </c>
      <c r="R40" t="s">
        <v>92</v>
      </c>
      <c r="S40" t="s">
        <v>113</v>
      </c>
      <c r="T40" t="s">
        <v>99</v>
      </c>
      <c r="V40" t="s">
        <v>96</v>
      </c>
      <c r="Y40" t="s">
        <v>108</v>
      </c>
      <c r="Z40" t="str">
        <f>_xlfn.TEXTJOIN(",",TRUE,Table1[[#This Row],[Col5]],Table1[[#This Row],[Col4]],Table1[[#This Row],[Col3]],Table1[[#This Row],[Col2]],Table1[[#This Row],[Col1]])</f>
        <v xml:space="preserve"> Medicines,Snacks and Beverages</v>
      </c>
      <c r="AA40" t="s">
        <v>78</v>
      </c>
      <c r="AB40" t="s">
        <v>80</v>
      </c>
      <c r="AC40" t="s">
        <v>78</v>
      </c>
      <c r="AD40" t="s">
        <v>81</v>
      </c>
      <c r="AE40" t="s">
        <v>79</v>
      </c>
      <c r="AF40" t="s">
        <v>101</v>
      </c>
      <c r="AG40" t="s">
        <v>101</v>
      </c>
      <c r="AH40" t="s">
        <v>78</v>
      </c>
      <c r="AI40" t="s">
        <v>80</v>
      </c>
      <c r="AJ40" t="s">
        <v>78</v>
      </c>
      <c r="AK40">
        <v>2</v>
      </c>
      <c r="AL40">
        <v>1</v>
      </c>
      <c r="AM40">
        <v>2</v>
      </c>
      <c r="AN40" t="s">
        <v>128</v>
      </c>
      <c r="AR40" t="s">
        <v>118</v>
      </c>
    </row>
    <row r="41" spans="1:60" x14ac:dyDescent="0.35">
      <c r="A41">
        <v>40</v>
      </c>
      <c r="B41" t="str" cm="1">
        <f t="array" ref="B41">_xlfn.IFS(A41&lt;=25,"18-25",A41&lt;=33,"26-33",A41&lt;=41,"34-41",A41&lt;=49,"42-49",A41&gt;49,"50 or above")</f>
        <v>34-41</v>
      </c>
      <c r="C41" t="s">
        <v>62</v>
      </c>
      <c r="D41" t="s">
        <v>105</v>
      </c>
      <c r="E41" t="s">
        <v>86</v>
      </c>
      <c r="F41" t="s">
        <v>65</v>
      </c>
      <c r="G41" t="s">
        <v>66</v>
      </c>
      <c r="H41" t="s">
        <v>88</v>
      </c>
      <c r="I41">
        <v>0</v>
      </c>
      <c r="Z41" t="str">
        <f>_xlfn.TEXTJOIN(",",TRUE,Table1[[#This Row],[Col5]],Table1[[#This Row],[Col4]],Table1[[#This Row],[Col3]],Table1[[#This Row],[Col2]],Table1[[#This Row],[Col1]])</f>
        <v/>
      </c>
      <c r="AY41" t="s">
        <v>125</v>
      </c>
      <c r="AZ41" t="s">
        <v>125</v>
      </c>
      <c r="BA41" t="s">
        <v>66</v>
      </c>
      <c r="BB41" t="s">
        <v>80</v>
      </c>
      <c r="BC41" t="s">
        <v>80</v>
      </c>
      <c r="BD41" t="s">
        <v>80</v>
      </c>
      <c r="BE41" t="s">
        <v>80</v>
      </c>
      <c r="BF41" t="s">
        <v>80</v>
      </c>
      <c r="BG41" t="s">
        <v>80</v>
      </c>
      <c r="BH41" t="s">
        <v>80</v>
      </c>
    </row>
    <row r="42" spans="1:60" x14ac:dyDescent="0.35">
      <c r="A42">
        <v>32</v>
      </c>
      <c r="B42" t="str" cm="1">
        <f t="array" ref="B42">_xlfn.IFS(A42&lt;=25,"18-25",A42&lt;=33,"26-33",A42&lt;=41,"34-41",A42&lt;=49,"42-49",A42&gt;49,"50 or above")</f>
        <v>26-33</v>
      </c>
      <c r="C42" t="s">
        <v>129</v>
      </c>
      <c r="D42" t="s">
        <v>116</v>
      </c>
      <c r="E42" t="s">
        <v>109</v>
      </c>
      <c r="F42" t="s">
        <v>65</v>
      </c>
      <c r="G42" t="s">
        <v>66</v>
      </c>
      <c r="H42" t="s">
        <v>66</v>
      </c>
      <c r="I42">
        <v>1</v>
      </c>
      <c r="K42" t="s">
        <v>93</v>
      </c>
      <c r="P42" t="s">
        <v>93</v>
      </c>
      <c r="Q42" t="s">
        <v>98</v>
      </c>
      <c r="R42" t="s">
        <v>71</v>
      </c>
      <c r="S42" t="s">
        <v>130</v>
      </c>
      <c r="T42" t="s">
        <v>112</v>
      </c>
      <c r="X42" t="s">
        <v>131</v>
      </c>
      <c r="Z42" t="str">
        <f>_xlfn.TEXTJOIN(",",TRUE,Table1[[#This Row],[Col5]],Table1[[#This Row],[Col4]],Table1[[#This Row],[Col3]],Table1[[#This Row],[Col2]],Table1[[#This Row],[Col1]])</f>
        <v>Personal Care</v>
      </c>
      <c r="AA42" t="s">
        <v>80</v>
      </c>
      <c r="AB42" t="s">
        <v>81</v>
      </c>
      <c r="AC42" t="s">
        <v>80</v>
      </c>
      <c r="AD42" t="s">
        <v>78</v>
      </c>
      <c r="AE42" t="s">
        <v>81</v>
      </c>
      <c r="AF42" t="s">
        <v>78</v>
      </c>
      <c r="AG42" t="s">
        <v>81</v>
      </c>
      <c r="AH42" t="s">
        <v>81</v>
      </c>
      <c r="AI42" t="s">
        <v>78</v>
      </c>
      <c r="AJ42" t="s">
        <v>80</v>
      </c>
      <c r="AK42">
        <v>3</v>
      </c>
      <c r="AL42">
        <v>2</v>
      </c>
      <c r="AM42">
        <v>4</v>
      </c>
      <c r="AN42" t="s">
        <v>128</v>
      </c>
    </row>
    <row r="43" spans="1:60" x14ac:dyDescent="0.35">
      <c r="A43">
        <v>22</v>
      </c>
      <c r="B43" t="str" cm="1">
        <f t="array" ref="B43">_xlfn.IFS(A43&lt;=25,"18-25",A43&lt;=33,"26-33",A43&lt;=41,"34-41",A43&lt;=49,"42-49",A43&gt;49,"50 or above")</f>
        <v>18-25</v>
      </c>
      <c r="C43" t="s">
        <v>89</v>
      </c>
      <c r="D43" t="s">
        <v>116</v>
      </c>
      <c r="E43" t="s">
        <v>86</v>
      </c>
      <c r="F43" t="s">
        <v>87</v>
      </c>
      <c r="G43" t="s">
        <v>66</v>
      </c>
      <c r="H43" t="s">
        <v>66</v>
      </c>
      <c r="I43">
        <v>1</v>
      </c>
      <c r="J43" t="s">
        <v>67</v>
      </c>
      <c r="P43" t="s">
        <v>67</v>
      </c>
      <c r="Q43" t="s">
        <v>70</v>
      </c>
      <c r="R43" t="s">
        <v>94</v>
      </c>
      <c r="S43" t="s">
        <v>113</v>
      </c>
      <c r="T43" t="s">
        <v>99</v>
      </c>
      <c r="V43" t="s">
        <v>96</v>
      </c>
      <c r="Z43" t="str">
        <f>_xlfn.TEXTJOIN(",",TRUE,Table1[[#This Row],[Col5]],Table1[[#This Row],[Col4]],Table1[[#This Row],[Col3]],Table1[[#This Row],[Col2]],Table1[[#This Row],[Col1]])</f>
        <v>Snacks and Beverages</v>
      </c>
      <c r="AA43" t="s">
        <v>80</v>
      </c>
      <c r="AB43" t="s">
        <v>81</v>
      </c>
      <c r="AC43" t="s">
        <v>79</v>
      </c>
      <c r="AD43" t="s">
        <v>81</v>
      </c>
      <c r="AE43" t="s">
        <v>81</v>
      </c>
      <c r="AF43" t="s">
        <v>81</v>
      </c>
      <c r="AG43" t="s">
        <v>80</v>
      </c>
      <c r="AH43" t="s">
        <v>80</v>
      </c>
      <c r="AI43" t="s">
        <v>80</v>
      </c>
      <c r="AJ43" t="s">
        <v>80</v>
      </c>
      <c r="AK43">
        <v>4</v>
      </c>
      <c r="AL43">
        <v>4</v>
      </c>
      <c r="AM43">
        <v>5</v>
      </c>
      <c r="AN43" t="s">
        <v>82</v>
      </c>
    </row>
    <row r="44" spans="1:60" x14ac:dyDescent="0.35">
      <c r="A44">
        <v>23</v>
      </c>
      <c r="B44" t="str" cm="1">
        <f t="array" ref="B44">_xlfn.IFS(A44&lt;=25,"18-25",A44&lt;=33,"26-33",A44&lt;=41,"34-41",A44&lt;=49,"42-49",A44&gt;49,"50 or above")</f>
        <v>18-25</v>
      </c>
      <c r="C44" t="s">
        <v>89</v>
      </c>
      <c r="D44" t="s">
        <v>63</v>
      </c>
      <c r="E44" t="s">
        <v>64</v>
      </c>
      <c r="F44" t="s">
        <v>127</v>
      </c>
      <c r="G44" t="s">
        <v>66</v>
      </c>
      <c r="H44" t="s">
        <v>66</v>
      </c>
      <c r="I44">
        <v>1</v>
      </c>
      <c r="J44" t="s">
        <v>67</v>
      </c>
      <c r="K44" t="s">
        <v>68</v>
      </c>
      <c r="L44" t="s">
        <v>69</v>
      </c>
      <c r="M44" t="s">
        <v>132</v>
      </c>
      <c r="P44" t="s">
        <v>67</v>
      </c>
      <c r="Q44" t="s">
        <v>98</v>
      </c>
      <c r="R44" t="s">
        <v>94</v>
      </c>
      <c r="S44" t="s">
        <v>95</v>
      </c>
      <c r="T44" t="s">
        <v>73</v>
      </c>
      <c r="U44" t="s">
        <v>74</v>
      </c>
      <c r="V44" t="s">
        <v>75</v>
      </c>
      <c r="W44" t="s">
        <v>76</v>
      </c>
      <c r="X44" t="s">
        <v>77</v>
      </c>
      <c r="Z44" t="str">
        <f>_xlfn.TEXTJOIN(",",TRUE,Table1[[#This Row],[Col5]],Table1[[#This Row],[Col4]],Table1[[#This Row],[Col3]],Table1[[#This Row],[Col2]],Table1[[#This Row],[Col1]])</f>
        <v xml:space="preserve"> Personal Care, Daily Essentials, Snacks and Beverages,Groceries</v>
      </c>
      <c r="AA44" t="s">
        <v>78</v>
      </c>
      <c r="AB44" t="s">
        <v>80</v>
      </c>
      <c r="AC44" t="s">
        <v>81</v>
      </c>
      <c r="AD44" t="s">
        <v>80</v>
      </c>
      <c r="AE44" t="s">
        <v>81</v>
      </c>
      <c r="AF44" t="s">
        <v>80</v>
      </c>
      <c r="AG44" t="s">
        <v>78</v>
      </c>
      <c r="AH44" t="s">
        <v>80</v>
      </c>
      <c r="AI44" t="s">
        <v>78</v>
      </c>
      <c r="AJ44" t="s">
        <v>78</v>
      </c>
      <c r="AK44">
        <v>5</v>
      </c>
      <c r="AL44">
        <v>5</v>
      </c>
      <c r="AM44">
        <v>5</v>
      </c>
      <c r="AN44" t="s">
        <v>115</v>
      </c>
    </row>
    <row r="45" spans="1:60" x14ac:dyDescent="0.35">
      <c r="A45">
        <v>30</v>
      </c>
      <c r="B45" t="str" cm="1">
        <f t="array" ref="B45">_xlfn.IFS(A45&lt;=25,"18-25",A45&lt;=33,"26-33",A45&lt;=41,"34-41",A45&lt;=49,"42-49",A45&gt;49,"50 or above")</f>
        <v>26-33</v>
      </c>
      <c r="C45" t="s">
        <v>89</v>
      </c>
      <c r="D45" t="s">
        <v>105</v>
      </c>
      <c r="E45" t="s">
        <v>86</v>
      </c>
      <c r="F45" t="s">
        <v>65</v>
      </c>
      <c r="G45" t="s">
        <v>66</v>
      </c>
      <c r="H45" t="s">
        <v>66</v>
      </c>
      <c r="I45">
        <v>1</v>
      </c>
      <c r="J45" t="s">
        <v>67</v>
      </c>
      <c r="K45" t="s">
        <v>68</v>
      </c>
      <c r="L45" t="s">
        <v>69</v>
      </c>
      <c r="P45" t="s">
        <v>67</v>
      </c>
      <c r="Q45" t="s">
        <v>98</v>
      </c>
      <c r="R45" t="s">
        <v>110</v>
      </c>
      <c r="S45" t="s">
        <v>72</v>
      </c>
      <c r="T45" t="s">
        <v>73</v>
      </c>
      <c r="U45" t="s">
        <v>74</v>
      </c>
      <c r="V45" t="s">
        <v>75</v>
      </c>
      <c r="W45" t="s">
        <v>76</v>
      </c>
      <c r="Z45" t="str">
        <f>_xlfn.TEXTJOIN(",",TRUE,Table1[[#This Row],[Col5]],Table1[[#This Row],[Col4]],Table1[[#This Row],[Col3]],Table1[[#This Row],[Col2]],Table1[[#This Row],[Col1]])</f>
        <v xml:space="preserve"> Daily Essentials, Snacks and Beverages,Groceries</v>
      </c>
      <c r="AA45" t="s">
        <v>81</v>
      </c>
      <c r="AB45" t="s">
        <v>80</v>
      </c>
      <c r="AC45" t="s">
        <v>79</v>
      </c>
      <c r="AD45" t="s">
        <v>81</v>
      </c>
      <c r="AE45" t="s">
        <v>101</v>
      </c>
      <c r="AF45" t="s">
        <v>79</v>
      </c>
      <c r="AG45" t="s">
        <v>78</v>
      </c>
      <c r="AH45" t="s">
        <v>81</v>
      </c>
      <c r="AI45" t="s">
        <v>78</v>
      </c>
      <c r="AJ45" t="s">
        <v>81</v>
      </c>
      <c r="AK45">
        <v>3</v>
      </c>
      <c r="AL45">
        <v>3</v>
      </c>
      <c r="AM45">
        <v>3</v>
      </c>
      <c r="AN45" t="s">
        <v>82</v>
      </c>
    </row>
    <row r="46" spans="1:60" x14ac:dyDescent="0.35">
      <c r="A46">
        <v>25</v>
      </c>
      <c r="B46" t="str" cm="1">
        <f t="array" ref="B46">_xlfn.IFS(A46&lt;=25,"18-25",A46&lt;=33,"26-33",A46&lt;=41,"34-41",A46&lt;=49,"42-49",A46&gt;49,"50 or above")</f>
        <v>18-25</v>
      </c>
      <c r="C46" t="s">
        <v>62</v>
      </c>
      <c r="D46" t="s">
        <v>116</v>
      </c>
      <c r="E46" t="s">
        <v>86</v>
      </c>
      <c r="F46" t="s">
        <v>90</v>
      </c>
      <c r="G46" t="s">
        <v>66</v>
      </c>
      <c r="H46" t="s">
        <v>66</v>
      </c>
      <c r="I46">
        <v>1</v>
      </c>
      <c r="J46" t="s">
        <v>67</v>
      </c>
      <c r="K46" t="s">
        <v>68</v>
      </c>
      <c r="L46" t="s">
        <v>69</v>
      </c>
      <c r="P46" t="s">
        <v>67</v>
      </c>
      <c r="Q46" t="s">
        <v>70</v>
      </c>
      <c r="R46" t="s">
        <v>71</v>
      </c>
      <c r="S46" t="s">
        <v>72</v>
      </c>
      <c r="T46" t="s">
        <v>99</v>
      </c>
      <c r="U46" t="s">
        <v>74</v>
      </c>
      <c r="V46" t="s">
        <v>75</v>
      </c>
      <c r="W46" t="s">
        <v>76</v>
      </c>
      <c r="X46" t="s">
        <v>77</v>
      </c>
      <c r="Y46" t="s">
        <v>108</v>
      </c>
      <c r="Z46" t="str">
        <f>_xlfn.TEXTJOIN(",",TRUE,Table1[[#This Row],[Col5]],Table1[[#This Row],[Col4]],Table1[[#This Row],[Col3]],Table1[[#This Row],[Col2]],Table1[[#This Row],[Col1]])</f>
        <v xml:space="preserve"> Medicines, Personal Care, Daily Essentials, Snacks and Beverages,Groceries</v>
      </c>
      <c r="AA46" t="s">
        <v>78</v>
      </c>
      <c r="AB46" t="s">
        <v>80</v>
      </c>
      <c r="AC46" t="s">
        <v>81</v>
      </c>
      <c r="AD46" t="s">
        <v>78</v>
      </c>
      <c r="AE46" t="s">
        <v>79</v>
      </c>
      <c r="AF46" t="s">
        <v>78</v>
      </c>
      <c r="AG46" t="s">
        <v>80</v>
      </c>
      <c r="AH46" t="s">
        <v>80</v>
      </c>
      <c r="AI46" t="s">
        <v>80</v>
      </c>
      <c r="AJ46" t="s">
        <v>80</v>
      </c>
      <c r="AK46">
        <v>5</v>
      </c>
      <c r="AL46">
        <v>5</v>
      </c>
      <c r="AM46">
        <v>5</v>
      </c>
      <c r="AN46" t="s">
        <v>115</v>
      </c>
    </row>
    <row r="47" spans="1:60" x14ac:dyDescent="0.35">
      <c r="A47">
        <v>35</v>
      </c>
      <c r="B47" t="str" cm="1">
        <f t="array" ref="B47">_xlfn.IFS(A47&lt;=25,"18-25",A47&lt;=33,"26-33",A47&lt;=41,"34-41",A47&lt;=49,"42-49",A47&gt;49,"50 or above")</f>
        <v>34-41</v>
      </c>
      <c r="C47" t="s">
        <v>89</v>
      </c>
      <c r="D47" t="s">
        <v>116</v>
      </c>
      <c r="E47" t="s">
        <v>121</v>
      </c>
      <c r="F47" t="s">
        <v>90</v>
      </c>
      <c r="G47" t="s">
        <v>66</v>
      </c>
      <c r="H47" t="s">
        <v>66</v>
      </c>
      <c r="I47">
        <v>1</v>
      </c>
      <c r="J47" t="s">
        <v>67</v>
      </c>
      <c r="P47" t="s">
        <v>67</v>
      </c>
      <c r="Q47" t="s">
        <v>70</v>
      </c>
      <c r="R47" t="s">
        <v>110</v>
      </c>
      <c r="S47" t="s">
        <v>107</v>
      </c>
      <c r="T47" t="s">
        <v>99</v>
      </c>
      <c r="U47" t="s">
        <v>74</v>
      </c>
      <c r="V47" t="s">
        <v>75</v>
      </c>
      <c r="W47" t="s">
        <v>76</v>
      </c>
      <c r="X47" t="s">
        <v>77</v>
      </c>
      <c r="Y47" t="s">
        <v>108</v>
      </c>
      <c r="Z47" t="str">
        <f>_xlfn.TEXTJOIN(",",TRUE,Table1[[#This Row],[Col5]],Table1[[#This Row],[Col4]],Table1[[#This Row],[Col3]],Table1[[#This Row],[Col2]],Table1[[#This Row],[Col1]])</f>
        <v xml:space="preserve"> Medicines, Personal Care, Daily Essentials, Snacks and Beverages,Groceries</v>
      </c>
      <c r="AA47" t="s">
        <v>78</v>
      </c>
      <c r="AB47" t="s">
        <v>78</v>
      </c>
      <c r="AC47" t="s">
        <v>79</v>
      </c>
      <c r="AD47" t="s">
        <v>80</v>
      </c>
      <c r="AE47" t="s">
        <v>101</v>
      </c>
      <c r="AF47" t="s">
        <v>80</v>
      </c>
      <c r="AG47" t="s">
        <v>80</v>
      </c>
      <c r="AH47" t="s">
        <v>80</v>
      </c>
      <c r="AI47" t="s">
        <v>81</v>
      </c>
      <c r="AJ47" t="s">
        <v>81</v>
      </c>
      <c r="AK47">
        <v>4</v>
      </c>
      <c r="AL47">
        <v>4</v>
      </c>
      <c r="AM47">
        <v>4</v>
      </c>
      <c r="AN47" t="s">
        <v>115</v>
      </c>
      <c r="AP47" t="s">
        <v>126</v>
      </c>
    </row>
    <row r="48" spans="1:60" x14ac:dyDescent="0.35">
      <c r="A48">
        <v>25</v>
      </c>
      <c r="B48" t="str" cm="1">
        <f t="array" ref="B48">_xlfn.IFS(A48&lt;=25,"18-25",A48&lt;=33,"26-33",A48&lt;=41,"34-41",A48&lt;=49,"42-49",A48&gt;49,"50 or above")</f>
        <v>18-25</v>
      </c>
      <c r="C48" t="s">
        <v>62</v>
      </c>
      <c r="D48" t="s">
        <v>116</v>
      </c>
      <c r="E48" t="s">
        <v>86</v>
      </c>
      <c r="F48" t="s">
        <v>90</v>
      </c>
      <c r="G48" t="s">
        <v>88</v>
      </c>
      <c r="H48" t="s">
        <v>88</v>
      </c>
      <c r="I48">
        <v>0</v>
      </c>
      <c r="Z48" t="str">
        <f>_xlfn.TEXTJOIN(",",TRUE,Table1[[#This Row],[Col5]],Table1[[#This Row],[Col4]],Table1[[#This Row],[Col3]],Table1[[#This Row],[Col2]],Table1[[#This Row],[Col1]])</f>
        <v/>
      </c>
      <c r="AY48" t="s">
        <v>125</v>
      </c>
      <c r="AZ48" t="s">
        <v>125</v>
      </c>
      <c r="BA48" t="s">
        <v>88</v>
      </c>
      <c r="BB48" t="s">
        <v>81</v>
      </c>
      <c r="BC48" t="s">
        <v>81</v>
      </c>
      <c r="BD48" t="s">
        <v>81</v>
      </c>
      <c r="BE48" t="s">
        <v>81</v>
      </c>
      <c r="BF48" t="s">
        <v>81</v>
      </c>
      <c r="BG48" t="s">
        <v>81</v>
      </c>
      <c r="BH48" t="s">
        <v>81</v>
      </c>
    </row>
    <row r="49" spans="1:60" x14ac:dyDescent="0.35">
      <c r="A49">
        <v>26</v>
      </c>
      <c r="B49" t="str" cm="1">
        <f t="array" ref="B49">_xlfn.IFS(A49&lt;=25,"18-25",A49&lt;=33,"26-33",A49&lt;=41,"34-41",A49&lt;=49,"42-49",A49&gt;49,"50 or above")</f>
        <v>26-33</v>
      </c>
      <c r="C49" t="s">
        <v>89</v>
      </c>
      <c r="D49" t="s">
        <v>105</v>
      </c>
      <c r="E49" t="s">
        <v>64</v>
      </c>
      <c r="F49" t="s">
        <v>127</v>
      </c>
      <c r="G49" t="s">
        <v>66</v>
      </c>
      <c r="H49" t="s">
        <v>66</v>
      </c>
      <c r="I49">
        <v>1</v>
      </c>
      <c r="J49" t="s">
        <v>67</v>
      </c>
      <c r="P49" t="s">
        <v>67</v>
      </c>
      <c r="Q49" t="s">
        <v>70</v>
      </c>
      <c r="R49" t="s">
        <v>110</v>
      </c>
      <c r="S49" t="s">
        <v>107</v>
      </c>
      <c r="T49" t="s">
        <v>73</v>
      </c>
      <c r="U49" t="s">
        <v>74</v>
      </c>
      <c r="V49" t="s">
        <v>75</v>
      </c>
      <c r="W49" t="s">
        <v>76</v>
      </c>
      <c r="X49" t="s">
        <v>77</v>
      </c>
      <c r="Z49" t="str">
        <f>_xlfn.TEXTJOIN(",",TRUE,Table1[[#This Row],[Col5]],Table1[[#This Row],[Col4]],Table1[[#This Row],[Col3]],Table1[[#This Row],[Col2]],Table1[[#This Row],[Col1]])</f>
        <v xml:space="preserve"> Personal Care, Daily Essentials, Snacks and Beverages,Groceries</v>
      </c>
      <c r="AA49" t="s">
        <v>80</v>
      </c>
      <c r="AB49" t="s">
        <v>80</v>
      </c>
      <c r="AC49" t="s">
        <v>81</v>
      </c>
      <c r="AD49" t="s">
        <v>81</v>
      </c>
      <c r="AE49" t="s">
        <v>101</v>
      </c>
      <c r="AF49" t="s">
        <v>78</v>
      </c>
      <c r="AG49" t="s">
        <v>80</v>
      </c>
      <c r="AH49" t="s">
        <v>81</v>
      </c>
      <c r="AI49" t="s">
        <v>79</v>
      </c>
      <c r="AJ49" t="s">
        <v>80</v>
      </c>
      <c r="AK49">
        <v>5</v>
      </c>
      <c r="AL49">
        <v>5</v>
      </c>
      <c r="AM49">
        <v>5</v>
      </c>
      <c r="AN49" t="s">
        <v>115</v>
      </c>
    </row>
    <row r="50" spans="1:60" x14ac:dyDescent="0.35">
      <c r="A50">
        <v>19</v>
      </c>
      <c r="B50" t="str" cm="1">
        <f t="array" ref="B50">_xlfn.IFS(A50&lt;=25,"18-25",A50&lt;=33,"26-33",A50&lt;=41,"34-41",A50&lt;=49,"42-49",A50&gt;49,"50 or above")</f>
        <v>18-25</v>
      </c>
      <c r="C50" t="s">
        <v>89</v>
      </c>
      <c r="D50" t="s">
        <v>119</v>
      </c>
      <c r="E50" t="s">
        <v>64</v>
      </c>
      <c r="F50" t="s">
        <v>127</v>
      </c>
      <c r="G50" t="s">
        <v>66</v>
      </c>
      <c r="H50" t="s">
        <v>66</v>
      </c>
      <c r="I50">
        <v>1</v>
      </c>
      <c r="J50" t="s">
        <v>67</v>
      </c>
      <c r="K50" t="s">
        <v>68</v>
      </c>
      <c r="L50" t="s">
        <v>69</v>
      </c>
      <c r="P50" t="s">
        <v>67</v>
      </c>
      <c r="Q50" t="s">
        <v>103</v>
      </c>
      <c r="R50" t="s">
        <v>94</v>
      </c>
      <c r="S50" t="s">
        <v>113</v>
      </c>
      <c r="T50" t="s">
        <v>99</v>
      </c>
      <c r="V50" t="s">
        <v>96</v>
      </c>
      <c r="Z50" t="str">
        <f>_xlfn.TEXTJOIN(",",TRUE,Table1[[#This Row],[Col5]],Table1[[#This Row],[Col4]],Table1[[#This Row],[Col3]],Table1[[#This Row],[Col2]],Table1[[#This Row],[Col1]])</f>
        <v>Snacks and Beverages</v>
      </c>
      <c r="AA50" t="s">
        <v>78</v>
      </c>
      <c r="AB50" t="s">
        <v>80</v>
      </c>
      <c r="AC50" t="s">
        <v>78</v>
      </c>
      <c r="AD50" t="s">
        <v>80</v>
      </c>
      <c r="AE50" t="s">
        <v>81</v>
      </c>
      <c r="AF50" t="s">
        <v>79</v>
      </c>
      <c r="AG50" t="s">
        <v>78</v>
      </c>
      <c r="AH50" t="s">
        <v>79</v>
      </c>
      <c r="AI50" t="s">
        <v>78</v>
      </c>
      <c r="AJ50" t="s">
        <v>78</v>
      </c>
      <c r="AK50">
        <v>4</v>
      </c>
      <c r="AL50">
        <v>4</v>
      </c>
      <c r="AM50">
        <v>4</v>
      </c>
      <c r="AN50" t="s">
        <v>133</v>
      </c>
    </row>
    <row r="51" spans="1:60" x14ac:dyDescent="0.35">
      <c r="A51">
        <v>26</v>
      </c>
      <c r="B51" t="str" cm="1">
        <f t="array" ref="B51">_xlfn.IFS(A51&lt;=25,"18-25",A51&lt;=33,"26-33",A51&lt;=41,"34-41",A51&lt;=49,"42-49",A51&gt;49,"50 or above")</f>
        <v>26-33</v>
      </c>
      <c r="C51" t="s">
        <v>62</v>
      </c>
      <c r="D51" t="s">
        <v>105</v>
      </c>
      <c r="E51" t="s">
        <v>86</v>
      </c>
      <c r="F51" t="s">
        <v>90</v>
      </c>
      <c r="G51" t="s">
        <v>66</v>
      </c>
      <c r="H51" t="s">
        <v>66</v>
      </c>
      <c r="I51">
        <v>1</v>
      </c>
      <c r="L51" t="s">
        <v>91</v>
      </c>
      <c r="P51" t="s">
        <v>91</v>
      </c>
      <c r="Q51" t="s">
        <v>70</v>
      </c>
      <c r="R51" t="s">
        <v>92</v>
      </c>
      <c r="S51" t="s">
        <v>72</v>
      </c>
      <c r="T51" t="s">
        <v>73</v>
      </c>
      <c r="U51" t="s">
        <v>74</v>
      </c>
      <c r="V51" t="s">
        <v>75</v>
      </c>
      <c r="Z51" t="str">
        <f>_xlfn.TEXTJOIN(",",TRUE,Table1[[#This Row],[Col5]],Table1[[#This Row],[Col4]],Table1[[#This Row],[Col3]],Table1[[#This Row],[Col2]],Table1[[#This Row],[Col1]])</f>
        <v xml:space="preserve"> Snacks and Beverages,Groceries</v>
      </c>
      <c r="AA51" t="s">
        <v>80</v>
      </c>
      <c r="AB51" t="s">
        <v>81</v>
      </c>
      <c r="AC51" t="s">
        <v>80</v>
      </c>
      <c r="AD51" t="s">
        <v>79</v>
      </c>
      <c r="AE51" t="s">
        <v>81</v>
      </c>
      <c r="AF51" t="s">
        <v>81</v>
      </c>
      <c r="AG51" t="s">
        <v>78</v>
      </c>
      <c r="AH51" t="s">
        <v>81</v>
      </c>
      <c r="AI51" t="s">
        <v>79</v>
      </c>
      <c r="AJ51" t="s">
        <v>81</v>
      </c>
      <c r="AK51">
        <v>4</v>
      </c>
      <c r="AL51">
        <v>4</v>
      </c>
      <c r="AM51">
        <v>4</v>
      </c>
      <c r="AN51" t="s">
        <v>115</v>
      </c>
    </row>
    <row r="52" spans="1:60" x14ac:dyDescent="0.35">
      <c r="A52">
        <v>21</v>
      </c>
      <c r="B52" t="str" cm="1">
        <f t="array" ref="B52">_xlfn.IFS(A52&lt;=25,"18-25",A52&lt;=33,"26-33",A52&lt;=41,"34-41",A52&lt;=49,"42-49",A52&gt;49,"50 or above")</f>
        <v>18-25</v>
      </c>
      <c r="C52" t="s">
        <v>89</v>
      </c>
      <c r="D52" t="s">
        <v>105</v>
      </c>
      <c r="E52" t="s">
        <v>64</v>
      </c>
      <c r="F52" t="s">
        <v>87</v>
      </c>
      <c r="G52" t="s">
        <v>66</v>
      </c>
      <c r="H52" t="s">
        <v>66</v>
      </c>
      <c r="I52">
        <v>1</v>
      </c>
      <c r="J52" t="s">
        <v>67</v>
      </c>
      <c r="K52" t="s">
        <v>68</v>
      </c>
      <c r="L52" t="s">
        <v>69</v>
      </c>
      <c r="P52" t="s">
        <v>67</v>
      </c>
      <c r="Q52" t="s">
        <v>103</v>
      </c>
      <c r="R52" t="s">
        <v>94</v>
      </c>
      <c r="S52" t="s">
        <v>72</v>
      </c>
      <c r="T52" t="s">
        <v>73</v>
      </c>
      <c r="V52" t="s">
        <v>96</v>
      </c>
      <c r="Z52" t="str">
        <f>_xlfn.TEXTJOIN(",",TRUE,Table1[[#This Row],[Col5]],Table1[[#This Row],[Col4]],Table1[[#This Row],[Col3]],Table1[[#This Row],[Col2]],Table1[[#This Row],[Col1]])</f>
        <v>Snacks and Beverages</v>
      </c>
      <c r="AA52" t="s">
        <v>78</v>
      </c>
      <c r="AB52" t="s">
        <v>80</v>
      </c>
      <c r="AC52" t="s">
        <v>80</v>
      </c>
      <c r="AD52" t="s">
        <v>81</v>
      </c>
      <c r="AE52" t="s">
        <v>101</v>
      </c>
      <c r="AF52" t="s">
        <v>81</v>
      </c>
      <c r="AG52" t="s">
        <v>80</v>
      </c>
      <c r="AH52" t="s">
        <v>80</v>
      </c>
      <c r="AI52" t="s">
        <v>78</v>
      </c>
      <c r="AJ52" t="s">
        <v>78</v>
      </c>
      <c r="AK52">
        <v>3</v>
      </c>
      <c r="AL52">
        <v>4</v>
      </c>
      <c r="AM52">
        <v>4</v>
      </c>
      <c r="AN52" t="s">
        <v>82</v>
      </c>
    </row>
    <row r="53" spans="1:60" x14ac:dyDescent="0.35">
      <c r="A53">
        <v>22</v>
      </c>
      <c r="B53" t="str" cm="1">
        <f t="array" ref="B53">_xlfn.IFS(A53&lt;=25,"18-25",A53&lt;=33,"26-33",A53&lt;=41,"34-41",A53&lt;=49,"42-49",A53&gt;49,"50 or above")</f>
        <v>18-25</v>
      </c>
      <c r="C53" t="s">
        <v>89</v>
      </c>
      <c r="D53" t="s">
        <v>105</v>
      </c>
      <c r="E53" t="s">
        <v>64</v>
      </c>
      <c r="F53" t="s">
        <v>90</v>
      </c>
      <c r="G53" t="s">
        <v>66</v>
      </c>
      <c r="H53" t="s">
        <v>66</v>
      </c>
      <c r="I53">
        <v>1</v>
      </c>
      <c r="J53" t="s">
        <v>67</v>
      </c>
      <c r="K53" t="s">
        <v>68</v>
      </c>
      <c r="L53" t="s">
        <v>69</v>
      </c>
      <c r="P53" t="s">
        <v>67</v>
      </c>
      <c r="Q53" t="s">
        <v>70</v>
      </c>
      <c r="R53" t="s">
        <v>94</v>
      </c>
      <c r="S53" t="s">
        <v>72</v>
      </c>
      <c r="T53" t="s">
        <v>99</v>
      </c>
      <c r="U53" t="s">
        <v>74</v>
      </c>
      <c r="V53" t="s">
        <v>75</v>
      </c>
      <c r="Z53" t="str">
        <f>_xlfn.TEXTJOIN(",",TRUE,Table1[[#This Row],[Col5]],Table1[[#This Row],[Col4]],Table1[[#This Row],[Col3]],Table1[[#This Row],[Col2]],Table1[[#This Row],[Col1]])</f>
        <v xml:space="preserve"> Snacks and Beverages,Groceries</v>
      </c>
      <c r="AA53" t="s">
        <v>81</v>
      </c>
      <c r="AB53" t="s">
        <v>81</v>
      </c>
      <c r="AC53" t="s">
        <v>81</v>
      </c>
      <c r="AD53" t="s">
        <v>80</v>
      </c>
      <c r="AE53" t="s">
        <v>81</v>
      </c>
      <c r="AF53" t="s">
        <v>80</v>
      </c>
      <c r="AG53" t="s">
        <v>80</v>
      </c>
      <c r="AH53" t="s">
        <v>80</v>
      </c>
      <c r="AI53" t="s">
        <v>80</v>
      </c>
      <c r="AJ53" t="s">
        <v>80</v>
      </c>
      <c r="AK53">
        <v>3</v>
      </c>
      <c r="AL53">
        <v>2</v>
      </c>
      <c r="AM53">
        <v>3</v>
      </c>
      <c r="AN53" t="s">
        <v>104</v>
      </c>
      <c r="AR53" t="s">
        <v>118</v>
      </c>
    </row>
    <row r="54" spans="1:60" x14ac:dyDescent="0.35">
      <c r="A54">
        <v>18</v>
      </c>
      <c r="B54" t="str" cm="1">
        <f t="array" ref="B54">_xlfn.IFS(A54&lt;=25,"18-25",A54&lt;=33,"26-33",A54&lt;=41,"34-41",A54&lt;=49,"42-49",A54&gt;49,"50 or above")</f>
        <v>18-25</v>
      </c>
      <c r="C54" t="s">
        <v>62</v>
      </c>
      <c r="D54" t="s">
        <v>119</v>
      </c>
      <c r="E54" t="s">
        <v>64</v>
      </c>
      <c r="F54" t="s">
        <v>102</v>
      </c>
      <c r="G54" t="s">
        <v>88</v>
      </c>
      <c r="H54" t="s">
        <v>88</v>
      </c>
      <c r="I54">
        <v>0</v>
      </c>
      <c r="Z54" t="str">
        <f>_xlfn.TEXTJOIN(",",TRUE,Table1[[#This Row],[Col5]],Table1[[#This Row],[Col4]],Table1[[#This Row],[Col3]],Table1[[#This Row],[Col2]],Table1[[#This Row],[Col1]])</f>
        <v/>
      </c>
      <c r="AY54" t="s">
        <v>125</v>
      </c>
      <c r="AZ54" t="s">
        <v>125</v>
      </c>
      <c r="BA54" t="s">
        <v>88</v>
      </c>
      <c r="BB54" t="s">
        <v>81</v>
      </c>
      <c r="BC54" t="s">
        <v>81</v>
      </c>
      <c r="BD54" t="s">
        <v>81</v>
      </c>
      <c r="BE54" t="s">
        <v>81</v>
      </c>
      <c r="BF54" t="s">
        <v>79</v>
      </c>
      <c r="BG54" t="s">
        <v>80</v>
      </c>
      <c r="BH54" t="s">
        <v>79</v>
      </c>
    </row>
    <row r="55" spans="1:60" x14ac:dyDescent="0.35">
      <c r="A55">
        <v>45</v>
      </c>
      <c r="B55" t="str" cm="1">
        <f t="array" ref="B55">_xlfn.IFS(A55&lt;=25,"18-25",A55&lt;=33,"26-33",A55&lt;=41,"34-41",A55&lt;=49,"42-49",A55&gt;49,"50 or above")</f>
        <v>42-49</v>
      </c>
      <c r="C55" t="s">
        <v>89</v>
      </c>
      <c r="D55" t="s">
        <v>116</v>
      </c>
      <c r="E55" t="s">
        <v>86</v>
      </c>
      <c r="F55" t="s">
        <v>65</v>
      </c>
      <c r="G55" t="s">
        <v>66</v>
      </c>
      <c r="H55" t="s">
        <v>66</v>
      </c>
      <c r="I55">
        <v>1</v>
      </c>
      <c r="J55" t="s">
        <v>67</v>
      </c>
      <c r="K55" t="s">
        <v>68</v>
      </c>
      <c r="L55" t="s">
        <v>69</v>
      </c>
      <c r="P55" t="s">
        <v>67</v>
      </c>
      <c r="Q55" t="s">
        <v>70</v>
      </c>
      <c r="R55" t="s">
        <v>110</v>
      </c>
      <c r="S55" t="s">
        <v>95</v>
      </c>
      <c r="T55" t="s">
        <v>73</v>
      </c>
      <c r="W55" t="s">
        <v>134</v>
      </c>
      <c r="Z55" t="str">
        <f>_xlfn.TEXTJOIN(",",TRUE,Table1[[#This Row],[Col5]],Table1[[#This Row],[Col4]],Table1[[#This Row],[Col3]],Table1[[#This Row],[Col2]],Table1[[#This Row],[Col1]])</f>
        <v>Daily Essentials</v>
      </c>
      <c r="AA55" t="s">
        <v>80</v>
      </c>
      <c r="AB55" t="s">
        <v>80</v>
      </c>
      <c r="AC55" t="s">
        <v>79</v>
      </c>
      <c r="AD55" t="s">
        <v>80</v>
      </c>
      <c r="AE55" t="s">
        <v>101</v>
      </c>
      <c r="AF55" t="s">
        <v>80</v>
      </c>
      <c r="AG55" t="s">
        <v>80</v>
      </c>
      <c r="AH55" t="s">
        <v>80</v>
      </c>
      <c r="AI55" t="s">
        <v>80</v>
      </c>
      <c r="AJ55" t="s">
        <v>80</v>
      </c>
      <c r="AK55">
        <v>4</v>
      </c>
      <c r="AL55">
        <v>4</v>
      </c>
      <c r="AM55">
        <v>4</v>
      </c>
      <c r="AN55" t="s">
        <v>82</v>
      </c>
    </row>
    <row r="56" spans="1:60" x14ac:dyDescent="0.35">
      <c r="A56">
        <v>22</v>
      </c>
      <c r="B56" t="str" cm="1">
        <f t="array" ref="B56">_xlfn.IFS(A56&lt;=25,"18-25",A56&lt;=33,"26-33",A56&lt;=41,"34-41",A56&lt;=49,"42-49",A56&gt;49,"50 or above")</f>
        <v>18-25</v>
      </c>
      <c r="C56" t="s">
        <v>62</v>
      </c>
      <c r="D56" t="s">
        <v>105</v>
      </c>
      <c r="E56" t="s">
        <v>64</v>
      </c>
      <c r="F56" t="s">
        <v>127</v>
      </c>
      <c r="G56" t="s">
        <v>66</v>
      </c>
      <c r="H56" t="s">
        <v>66</v>
      </c>
      <c r="I56">
        <v>1</v>
      </c>
      <c r="J56" t="s">
        <v>67</v>
      </c>
      <c r="K56" t="s">
        <v>68</v>
      </c>
      <c r="L56" t="s">
        <v>69</v>
      </c>
      <c r="P56" t="s">
        <v>67</v>
      </c>
      <c r="Q56" t="s">
        <v>70</v>
      </c>
      <c r="R56" t="s">
        <v>94</v>
      </c>
      <c r="S56" t="s">
        <v>72</v>
      </c>
      <c r="T56" t="s">
        <v>73</v>
      </c>
      <c r="V56" t="s">
        <v>96</v>
      </c>
      <c r="Z56" t="str">
        <f>_xlfn.TEXTJOIN(",",TRUE,Table1[[#This Row],[Col5]],Table1[[#This Row],[Col4]],Table1[[#This Row],[Col3]],Table1[[#This Row],[Col2]],Table1[[#This Row],[Col1]])</f>
        <v>Snacks and Beverages</v>
      </c>
      <c r="AA56" t="s">
        <v>78</v>
      </c>
      <c r="AB56" t="s">
        <v>81</v>
      </c>
      <c r="AC56" t="s">
        <v>80</v>
      </c>
      <c r="AD56" t="s">
        <v>80</v>
      </c>
      <c r="AE56" t="s">
        <v>79</v>
      </c>
      <c r="AF56" t="s">
        <v>81</v>
      </c>
      <c r="AG56" t="s">
        <v>78</v>
      </c>
      <c r="AH56" t="s">
        <v>81</v>
      </c>
      <c r="AI56" t="s">
        <v>80</v>
      </c>
      <c r="AJ56" t="s">
        <v>80</v>
      </c>
      <c r="AK56">
        <v>4</v>
      </c>
      <c r="AL56">
        <v>5</v>
      </c>
      <c r="AM56">
        <v>5</v>
      </c>
      <c r="AN56" t="s">
        <v>104</v>
      </c>
    </row>
    <row r="57" spans="1:60" x14ac:dyDescent="0.35">
      <c r="A57">
        <v>23</v>
      </c>
      <c r="B57" t="str" cm="1">
        <f t="array" ref="B57">_xlfn.IFS(A57&lt;=25,"18-25",A57&lt;=33,"26-33",A57&lt;=41,"34-41",A57&lt;=49,"42-49",A57&gt;49,"50 or above")</f>
        <v>18-25</v>
      </c>
      <c r="C57" t="s">
        <v>62</v>
      </c>
      <c r="D57" t="s">
        <v>105</v>
      </c>
      <c r="E57" t="s">
        <v>64</v>
      </c>
      <c r="F57" t="s">
        <v>90</v>
      </c>
      <c r="G57" t="s">
        <v>66</v>
      </c>
      <c r="H57" t="s">
        <v>66</v>
      </c>
      <c r="I57">
        <v>1</v>
      </c>
      <c r="J57" t="s">
        <v>67</v>
      </c>
      <c r="K57" t="s">
        <v>68</v>
      </c>
      <c r="L57" t="s">
        <v>69</v>
      </c>
      <c r="P57" t="s">
        <v>93</v>
      </c>
      <c r="Q57" t="s">
        <v>117</v>
      </c>
      <c r="R57" t="s">
        <v>94</v>
      </c>
      <c r="S57" t="s">
        <v>72</v>
      </c>
      <c r="T57" t="s">
        <v>73</v>
      </c>
      <c r="V57" t="s">
        <v>96</v>
      </c>
      <c r="Z57" t="str">
        <f>_xlfn.TEXTJOIN(",",TRUE,Table1[[#This Row],[Col5]],Table1[[#This Row],[Col4]],Table1[[#This Row],[Col3]],Table1[[#This Row],[Col2]],Table1[[#This Row],[Col1]])</f>
        <v>Snacks and Beverages</v>
      </c>
      <c r="AA57" t="s">
        <v>78</v>
      </c>
      <c r="AB57" t="s">
        <v>78</v>
      </c>
      <c r="AC57" t="s">
        <v>78</v>
      </c>
      <c r="AD57" t="s">
        <v>78</v>
      </c>
      <c r="AE57" t="s">
        <v>80</v>
      </c>
      <c r="AF57" t="s">
        <v>78</v>
      </c>
      <c r="AG57" t="s">
        <v>78</v>
      </c>
      <c r="AH57" t="s">
        <v>78</v>
      </c>
      <c r="AI57" t="s">
        <v>81</v>
      </c>
      <c r="AJ57" t="s">
        <v>81</v>
      </c>
      <c r="AK57">
        <v>5</v>
      </c>
      <c r="AL57">
        <v>4</v>
      </c>
      <c r="AM57">
        <v>5</v>
      </c>
      <c r="AN57" t="s">
        <v>82</v>
      </c>
    </row>
    <row r="58" spans="1:60" x14ac:dyDescent="0.35">
      <c r="A58">
        <v>22</v>
      </c>
      <c r="B58" t="str" cm="1">
        <f t="array" ref="B58">_xlfn.IFS(A58&lt;=25,"18-25",A58&lt;=33,"26-33",A58&lt;=41,"34-41",A58&lt;=49,"42-49",A58&gt;49,"50 or above")</f>
        <v>18-25</v>
      </c>
      <c r="C58" t="s">
        <v>89</v>
      </c>
      <c r="D58" t="s">
        <v>63</v>
      </c>
      <c r="E58" t="s">
        <v>64</v>
      </c>
      <c r="F58" t="s">
        <v>102</v>
      </c>
      <c r="G58" t="s">
        <v>66</v>
      </c>
      <c r="H58" t="s">
        <v>66</v>
      </c>
      <c r="I58">
        <v>1</v>
      </c>
      <c r="J58" t="s">
        <v>67</v>
      </c>
      <c r="K58" t="s">
        <v>68</v>
      </c>
      <c r="L58" t="s">
        <v>69</v>
      </c>
      <c r="P58" t="s">
        <v>91</v>
      </c>
      <c r="Q58" t="s">
        <v>117</v>
      </c>
      <c r="R58" t="s">
        <v>92</v>
      </c>
      <c r="S58" t="s">
        <v>113</v>
      </c>
      <c r="T58" t="s">
        <v>99</v>
      </c>
      <c r="U58" t="s">
        <v>74</v>
      </c>
      <c r="V58" t="s">
        <v>75</v>
      </c>
      <c r="W58" t="s">
        <v>76</v>
      </c>
      <c r="Z58" t="str">
        <f>_xlfn.TEXTJOIN(",",TRUE,Table1[[#This Row],[Col5]],Table1[[#This Row],[Col4]],Table1[[#This Row],[Col3]],Table1[[#This Row],[Col2]],Table1[[#This Row],[Col1]])</f>
        <v xml:space="preserve"> Daily Essentials, Snacks and Beverages,Groceries</v>
      </c>
      <c r="AA58" t="s">
        <v>80</v>
      </c>
      <c r="AB58" t="s">
        <v>80</v>
      </c>
      <c r="AC58" t="s">
        <v>80</v>
      </c>
      <c r="AD58" t="s">
        <v>78</v>
      </c>
      <c r="AE58" t="s">
        <v>80</v>
      </c>
      <c r="AF58" t="s">
        <v>81</v>
      </c>
      <c r="AG58" t="s">
        <v>80</v>
      </c>
      <c r="AH58" t="s">
        <v>78</v>
      </c>
      <c r="AI58" t="s">
        <v>78</v>
      </c>
      <c r="AJ58" t="s">
        <v>78</v>
      </c>
      <c r="AK58">
        <v>4</v>
      </c>
      <c r="AL58">
        <v>4</v>
      </c>
      <c r="AM58">
        <v>5</v>
      </c>
      <c r="AN58" t="s">
        <v>97</v>
      </c>
    </row>
    <row r="59" spans="1:60" x14ac:dyDescent="0.35">
      <c r="A59">
        <v>21</v>
      </c>
      <c r="B59" t="str" cm="1">
        <f t="array" ref="B59">_xlfn.IFS(A59&lt;=25,"18-25",A59&lt;=33,"26-33",A59&lt;=41,"34-41",A59&lt;=49,"42-49",A59&gt;49,"50 or above")</f>
        <v>18-25</v>
      </c>
      <c r="C59" t="s">
        <v>89</v>
      </c>
      <c r="D59" t="s">
        <v>105</v>
      </c>
      <c r="E59" t="s">
        <v>64</v>
      </c>
      <c r="F59" t="s">
        <v>90</v>
      </c>
      <c r="G59" t="s">
        <v>66</v>
      </c>
      <c r="H59" t="s">
        <v>66</v>
      </c>
      <c r="I59">
        <v>1</v>
      </c>
      <c r="J59" t="s">
        <v>67</v>
      </c>
      <c r="K59" t="s">
        <v>68</v>
      </c>
      <c r="L59" t="s">
        <v>69</v>
      </c>
      <c r="P59" t="s">
        <v>67</v>
      </c>
      <c r="Q59" t="s">
        <v>98</v>
      </c>
      <c r="R59" t="s">
        <v>92</v>
      </c>
      <c r="S59" t="s">
        <v>72</v>
      </c>
      <c r="T59" t="s">
        <v>73</v>
      </c>
      <c r="U59" t="s">
        <v>74</v>
      </c>
      <c r="V59" t="s">
        <v>75</v>
      </c>
      <c r="Z59" t="str">
        <f>_xlfn.TEXTJOIN(",",TRUE,Table1[[#This Row],[Col5]],Table1[[#This Row],[Col4]],Table1[[#This Row],[Col3]],Table1[[#This Row],[Col2]],Table1[[#This Row],[Col1]])</f>
        <v xml:space="preserve"> Snacks and Beverages,Groceries</v>
      </c>
      <c r="AA59" t="s">
        <v>78</v>
      </c>
      <c r="AB59" t="s">
        <v>78</v>
      </c>
      <c r="AC59" t="s">
        <v>79</v>
      </c>
      <c r="AD59" t="s">
        <v>80</v>
      </c>
      <c r="AE59" t="s">
        <v>79</v>
      </c>
      <c r="AF59" t="s">
        <v>80</v>
      </c>
      <c r="AG59" t="s">
        <v>80</v>
      </c>
      <c r="AH59" t="s">
        <v>80</v>
      </c>
      <c r="AI59" t="s">
        <v>80</v>
      </c>
      <c r="AJ59" t="s">
        <v>78</v>
      </c>
      <c r="AK59">
        <v>5</v>
      </c>
      <c r="AL59">
        <v>5</v>
      </c>
      <c r="AM59">
        <v>5</v>
      </c>
      <c r="AN59" t="s">
        <v>104</v>
      </c>
    </row>
    <row r="60" spans="1:60" x14ac:dyDescent="0.35">
      <c r="A60">
        <v>27</v>
      </c>
      <c r="B60" t="str" cm="1">
        <f t="array" ref="B60">_xlfn.IFS(A60&lt;=25,"18-25",A60&lt;=33,"26-33",A60&lt;=41,"34-41",A60&lt;=49,"42-49",A60&gt;49,"50 or above")</f>
        <v>26-33</v>
      </c>
      <c r="C60" t="s">
        <v>89</v>
      </c>
      <c r="D60" t="s">
        <v>105</v>
      </c>
      <c r="E60" t="s">
        <v>64</v>
      </c>
      <c r="F60" t="s">
        <v>90</v>
      </c>
      <c r="G60" t="s">
        <v>66</v>
      </c>
      <c r="H60" t="s">
        <v>66</v>
      </c>
      <c r="I60">
        <v>1</v>
      </c>
      <c r="J60" t="s">
        <v>67</v>
      </c>
      <c r="K60" t="s">
        <v>68</v>
      </c>
      <c r="L60" t="s">
        <v>69</v>
      </c>
      <c r="P60" t="s">
        <v>91</v>
      </c>
      <c r="Q60" t="s">
        <v>98</v>
      </c>
      <c r="R60" t="s">
        <v>92</v>
      </c>
      <c r="S60" t="s">
        <v>72</v>
      </c>
      <c r="T60" t="s">
        <v>73</v>
      </c>
      <c r="U60" t="s">
        <v>74</v>
      </c>
      <c r="V60" t="s">
        <v>75</v>
      </c>
      <c r="W60" t="s">
        <v>76</v>
      </c>
      <c r="Z60" t="str">
        <f>_xlfn.TEXTJOIN(",",TRUE,Table1[[#This Row],[Col5]],Table1[[#This Row],[Col4]],Table1[[#This Row],[Col3]],Table1[[#This Row],[Col2]],Table1[[#This Row],[Col1]])</f>
        <v xml:space="preserve"> Daily Essentials, Snacks and Beverages,Groceries</v>
      </c>
      <c r="AA60" t="s">
        <v>80</v>
      </c>
      <c r="AB60" t="s">
        <v>78</v>
      </c>
      <c r="AC60" t="s">
        <v>79</v>
      </c>
      <c r="AD60" t="s">
        <v>81</v>
      </c>
      <c r="AE60" t="s">
        <v>81</v>
      </c>
      <c r="AF60" t="s">
        <v>80</v>
      </c>
      <c r="AG60" t="s">
        <v>78</v>
      </c>
      <c r="AH60" t="s">
        <v>80</v>
      </c>
      <c r="AI60" t="s">
        <v>78</v>
      </c>
      <c r="AJ60" t="s">
        <v>80</v>
      </c>
      <c r="AK60">
        <v>5</v>
      </c>
      <c r="AL60">
        <v>4</v>
      </c>
      <c r="AM60">
        <v>4</v>
      </c>
      <c r="AN60" t="s">
        <v>104</v>
      </c>
    </row>
    <row r="61" spans="1:60" x14ac:dyDescent="0.35">
      <c r="A61">
        <v>52</v>
      </c>
      <c r="B61" t="str" cm="1">
        <f t="array" ref="B61">_xlfn.IFS(A61&lt;=25,"18-25",A61&lt;=33,"26-33",A61&lt;=41,"34-41",A61&lt;=49,"42-49",A61&gt;49,"50 or above")</f>
        <v>50 or above</v>
      </c>
      <c r="C61" t="s">
        <v>89</v>
      </c>
      <c r="D61" t="s">
        <v>63</v>
      </c>
      <c r="E61" t="s">
        <v>86</v>
      </c>
      <c r="F61" t="s">
        <v>90</v>
      </c>
      <c r="G61" t="s">
        <v>66</v>
      </c>
      <c r="H61" t="s">
        <v>66</v>
      </c>
      <c r="I61">
        <v>1</v>
      </c>
      <c r="J61" t="s">
        <v>67</v>
      </c>
      <c r="K61" t="s">
        <v>68</v>
      </c>
      <c r="L61" t="s">
        <v>69</v>
      </c>
      <c r="P61" t="s">
        <v>91</v>
      </c>
      <c r="Q61" t="s">
        <v>117</v>
      </c>
      <c r="R61" t="s">
        <v>92</v>
      </c>
      <c r="S61" t="s">
        <v>72</v>
      </c>
      <c r="T61" t="s">
        <v>73</v>
      </c>
      <c r="U61" t="s">
        <v>74</v>
      </c>
      <c r="Z61" t="str">
        <f>_xlfn.TEXTJOIN(",",TRUE,Table1[[#This Row],[Col5]],Table1[[#This Row],[Col4]],Table1[[#This Row],[Col3]],Table1[[#This Row],[Col2]],Table1[[#This Row],[Col1]])</f>
        <v>Groceries</v>
      </c>
      <c r="AA61" t="s">
        <v>78</v>
      </c>
      <c r="AB61" t="s">
        <v>78</v>
      </c>
      <c r="AC61" t="s">
        <v>80</v>
      </c>
      <c r="AD61" t="s">
        <v>80</v>
      </c>
      <c r="AE61" t="s">
        <v>78</v>
      </c>
      <c r="AF61" t="s">
        <v>80</v>
      </c>
      <c r="AG61" t="s">
        <v>78</v>
      </c>
      <c r="AH61" t="s">
        <v>80</v>
      </c>
      <c r="AI61" t="s">
        <v>81</v>
      </c>
      <c r="AJ61" t="s">
        <v>80</v>
      </c>
      <c r="AK61">
        <v>4</v>
      </c>
      <c r="AL61">
        <v>4</v>
      </c>
      <c r="AM61">
        <v>5</v>
      </c>
      <c r="AN61" t="s">
        <v>115</v>
      </c>
    </row>
    <row r="62" spans="1:60" x14ac:dyDescent="0.35">
      <c r="A62">
        <v>22</v>
      </c>
      <c r="B62" t="str" cm="1">
        <f t="array" ref="B62">_xlfn.IFS(A62&lt;=25,"18-25",A62&lt;=33,"26-33",A62&lt;=41,"34-41",A62&lt;=49,"42-49",A62&gt;49,"50 or above")</f>
        <v>18-25</v>
      </c>
      <c r="C62" t="s">
        <v>89</v>
      </c>
      <c r="D62" t="s">
        <v>105</v>
      </c>
      <c r="E62" t="s">
        <v>64</v>
      </c>
      <c r="F62" t="s">
        <v>87</v>
      </c>
      <c r="G62" t="s">
        <v>66</v>
      </c>
      <c r="H62" t="s">
        <v>66</v>
      </c>
      <c r="I62">
        <v>1</v>
      </c>
      <c r="J62" t="s">
        <v>67</v>
      </c>
      <c r="K62" t="s">
        <v>68</v>
      </c>
      <c r="P62" t="s">
        <v>67</v>
      </c>
      <c r="Q62" t="s">
        <v>117</v>
      </c>
      <c r="R62" t="s">
        <v>94</v>
      </c>
      <c r="S62" t="s">
        <v>113</v>
      </c>
      <c r="T62" t="s">
        <v>99</v>
      </c>
      <c r="Y62" t="s">
        <v>135</v>
      </c>
      <c r="Z62" t="str">
        <f>_xlfn.TEXTJOIN(",",TRUE,Table1[[#This Row],[Col5]],Table1[[#This Row],[Col4]],Table1[[#This Row],[Col3]],Table1[[#This Row],[Col2]],Table1[[#This Row],[Col1]])</f>
        <v>Medicines</v>
      </c>
      <c r="AA62" t="s">
        <v>80</v>
      </c>
      <c r="AB62" t="s">
        <v>81</v>
      </c>
      <c r="AC62" t="s">
        <v>81</v>
      </c>
      <c r="AD62" t="s">
        <v>80</v>
      </c>
      <c r="AE62" t="s">
        <v>79</v>
      </c>
      <c r="AF62" t="s">
        <v>81</v>
      </c>
      <c r="AG62" t="s">
        <v>80</v>
      </c>
      <c r="AH62" t="s">
        <v>80</v>
      </c>
      <c r="AI62" t="s">
        <v>81</v>
      </c>
      <c r="AJ62" t="s">
        <v>81</v>
      </c>
      <c r="AK62">
        <v>2</v>
      </c>
      <c r="AL62">
        <v>3</v>
      </c>
      <c r="AM62">
        <v>2</v>
      </c>
      <c r="AN62" t="s">
        <v>104</v>
      </c>
    </row>
    <row r="63" spans="1:60" x14ac:dyDescent="0.35">
      <c r="A63">
        <v>22</v>
      </c>
      <c r="B63" t="str" cm="1">
        <f t="array" ref="B63">_xlfn.IFS(A63&lt;=25,"18-25",A63&lt;=33,"26-33",A63&lt;=41,"34-41",A63&lt;=49,"42-49",A63&gt;49,"50 or above")</f>
        <v>18-25</v>
      </c>
      <c r="C63" t="s">
        <v>89</v>
      </c>
      <c r="D63" t="s">
        <v>105</v>
      </c>
      <c r="E63" t="s">
        <v>64</v>
      </c>
      <c r="F63" t="s">
        <v>127</v>
      </c>
      <c r="G63" t="s">
        <v>66</v>
      </c>
      <c r="H63" t="s">
        <v>66</v>
      </c>
      <c r="I63">
        <v>1</v>
      </c>
      <c r="J63" t="s">
        <v>67</v>
      </c>
      <c r="K63" t="s">
        <v>68</v>
      </c>
      <c r="L63" t="s">
        <v>69</v>
      </c>
      <c r="P63" t="s">
        <v>67</v>
      </c>
      <c r="Q63" t="s">
        <v>70</v>
      </c>
      <c r="R63" t="s">
        <v>92</v>
      </c>
      <c r="S63" t="s">
        <v>113</v>
      </c>
      <c r="T63" t="s">
        <v>73</v>
      </c>
      <c r="U63" t="s">
        <v>74</v>
      </c>
      <c r="V63" t="s">
        <v>75</v>
      </c>
      <c r="Z63" t="str">
        <f>_xlfn.TEXTJOIN(",",TRUE,Table1[[#This Row],[Col5]],Table1[[#This Row],[Col4]],Table1[[#This Row],[Col3]],Table1[[#This Row],[Col2]],Table1[[#This Row],[Col1]])</f>
        <v xml:space="preserve"> Snacks and Beverages,Groceries</v>
      </c>
      <c r="AA63" t="s">
        <v>78</v>
      </c>
      <c r="AB63" t="s">
        <v>78</v>
      </c>
      <c r="AC63" t="s">
        <v>81</v>
      </c>
      <c r="AD63" t="s">
        <v>78</v>
      </c>
      <c r="AE63" t="s">
        <v>78</v>
      </c>
      <c r="AF63" t="s">
        <v>78</v>
      </c>
      <c r="AG63" t="s">
        <v>78</v>
      </c>
      <c r="AH63" t="s">
        <v>78</v>
      </c>
      <c r="AI63" t="s">
        <v>78</v>
      </c>
      <c r="AJ63" t="s">
        <v>78</v>
      </c>
      <c r="AK63">
        <v>5</v>
      </c>
      <c r="AL63">
        <v>5</v>
      </c>
      <c r="AM63">
        <v>5</v>
      </c>
      <c r="AN63" t="s">
        <v>82</v>
      </c>
      <c r="AR63" t="s">
        <v>118</v>
      </c>
      <c r="AS63" t="s">
        <v>124</v>
      </c>
    </row>
    <row r="64" spans="1:60" x14ac:dyDescent="0.35">
      <c r="A64">
        <v>35</v>
      </c>
      <c r="B64" t="str" cm="1">
        <f t="array" ref="B64">_xlfn.IFS(A64&lt;=25,"18-25",A64&lt;=33,"26-33",A64&lt;=41,"34-41",A64&lt;=49,"42-49",A64&gt;49,"50 or above")</f>
        <v>34-41</v>
      </c>
      <c r="C64" t="s">
        <v>62</v>
      </c>
      <c r="D64" t="s">
        <v>116</v>
      </c>
      <c r="E64" t="s">
        <v>109</v>
      </c>
      <c r="F64" t="s">
        <v>65</v>
      </c>
      <c r="G64" t="s">
        <v>66</v>
      </c>
      <c r="H64" t="s">
        <v>88</v>
      </c>
      <c r="I64">
        <v>0</v>
      </c>
      <c r="Z64" t="str">
        <f>_xlfn.TEXTJOIN(",",TRUE,Table1[[#This Row],[Col5]],Table1[[#This Row],[Col4]],Table1[[#This Row],[Col3]],Table1[[#This Row],[Col2]],Table1[[#This Row],[Col1]])</f>
        <v/>
      </c>
      <c r="AY64" t="s">
        <v>125</v>
      </c>
      <c r="AZ64" t="s">
        <v>125</v>
      </c>
      <c r="BA64" t="s">
        <v>66</v>
      </c>
      <c r="BB64" t="s">
        <v>81</v>
      </c>
      <c r="BC64" t="s">
        <v>81</v>
      </c>
      <c r="BD64" t="s">
        <v>81</v>
      </c>
      <c r="BE64" t="s">
        <v>81</v>
      </c>
      <c r="BF64" t="s">
        <v>81</v>
      </c>
      <c r="BG64" t="s">
        <v>81</v>
      </c>
      <c r="BH64" t="s">
        <v>81</v>
      </c>
    </row>
    <row r="65" spans="1:60" x14ac:dyDescent="0.35">
      <c r="A65">
        <v>20</v>
      </c>
      <c r="B65" t="str" cm="1">
        <f t="array" ref="B65">_xlfn.IFS(A65&lt;=25,"18-25",A65&lt;=33,"26-33",A65&lt;=41,"34-41",A65&lt;=49,"42-49",A65&gt;49,"50 or above")</f>
        <v>18-25</v>
      </c>
      <c r="C65" t="s">
        <v>89</v>
      </c>
      <c r="D65" t="s">
        <v>63</v>
      </c>
      <c r="E65" t="s">
        <v>64</v>
      </c>
      <c r="F65" t="s">
        <v>90</v>
      </c>
      <c r="G65" t="s">
        <v>66</v>
      </c>
      <c r="H65" t="s">
        <v>66</v>
      </c>
      <c r="I65">
        <v>1</v>
      </c>
      <c r="J65" t="s">
        <v>67</v>
      </c>
      <c r="K65" t="s">
        <v>68</v>
      </c>
      <c r="L65" t="s">
        <v>69</v>
      </c>
      <c r="P65" t="s">
        <v>93</v>
      </c>
      <c r="Q65" t="s">
        <v>70</v>
      </c>
      <c r="R65" t="s">
        <v>94</v>
      </c>
      <c r="S65" t="s">
        <v>107</v>
      </c>
      <c r="T65" t="s">
        <v>99</v>
      </c>
      <c r="U65" t="s">
        <v>74</v>
      </c>
      <c r="Z65" t="str">
        <f>_xlfn.TEXTJOIN(",",TRUE,Table1[[#This Row],[Col5]],Table1[[#This Row],[Col4]],Table1[[#This Row],[Col3]],Table1[[#This Row],[Col2]],Table1[[#This Row],[Col1]])</f>
        <v>Groceries</v>
      </c>
      <c r="AA65" t="s">
        <v>81</v>
      </c>
      <c r="AB65" t="s">
        <v>81</v>
      </c>
      <c r="AC65" t="s">
        <v>81</v>
      </c>
      <c r="AD65" t="s">
        <v>81</v>
      </c>
      <c r="AE65" t="s">
        <v>81</v>
      </c>
      <c r="AF65" t="s">
        <v>81</v>
      </c>
      <c r="AG65" t="s">
        <v>81</v>
      </c>
      <c r="AH65" t="s">
        <v>81</v>
      </c>
      <c r="AI65" t="s">
        <v>81</v>
      </c>
      <c r="AJ65" t="s">
        <v>81</v>
      </c>
      <c r="AK65">
        <v>4</v>
      </c>
      <c r="AL65">
        <v>4</v>
      </c>
      <c r="AM65">
        <v>4</v>
      </c>
      <c r="AN65" t="s">
        <v>82</v>
      </c>
      <c r="AR65" t="s">
        <v>118</v>
      </c>
      <c r="AS65" t="s">
        <v>124</v>
      </c>
    </row>
    <row r="66" spans="1:60" x14ac:dyDescent="0.35">
      <c r="A66">
        <v>50</v>
      </c>
      <c r="B66" t="str" cm="1">
        <f t="array" ref="B66">_xlfn.IFS(A66&lt;=25,"18-25",A66&lt;=33,"26-33",A66&lt;=41,"34-41",A66&lt;=49,"42-49",A66&gt;49,"50 or above")</f>
        <v>50 or above</v>
      </c>
      <c r="C66" t="s">
        <v>62</v>
      </c>
      <c r="D66" t="s">
        <v>116</v>
      </c>
      <c r="E66" t="s">
        <v>136</v>
      </c>
      <c r="F66" t="s">
        <v>102</v>
      </c>
      <c r="G66" t="s">
        <v>66</v>
      </c>
      <c r="H66" t="s">
        <v>88</v>
      </c>
      <c r="I66">
        <v>0</v>
      </c>
      <c r="Z66" t="str">
        <f>_xlfn.TEXTJOIN(",",TRUE,Table1[[#This Row],[Col5]],Table1[[#This Row],[Col4]],Table1[[#This Row],[Col3]],Table1[[#This Row],[Col2]],Table1[[#This Row],[Col1]])</f>
        <v/>
      </c>
      <c r="AY66" t="s">
        <v>125</v>
      </c>
      <c r="AZ66" t="s">
        <v>66</v>
      </c>
      <c r="BA66" t="s">
        <v>66</v>
      </c>
      <c r="BB66" t="s">
        <v>80</v>
      </c>
      <c r="BC66" t="s">
        <v>78</v>
      </c>
      <c r="BD66" t="s">
        <v>78</v>
      </c>
      <c r="BE66" t="s">
        <v>80</v>
      </c>
      <c r="BF66" t="s">
        <v>78</v>
      </c>
      <c r="BG66" t="s">
        <v>78</v>
      </c>
      <c r="BH66" t="s">
        <v>78</v>
      </c>
    </row>
    <row r="67" spans="1:60" x14ac:dyDescent="0.35">
      <c r="A67">
        <v>25</v>
      </c>
      <c r="B67" t="str" cm="1">
        <f t="array" ref="B67">_xlfn.IFS(A67&lt;=25,"18-25",A67&lt;=33,"26-33",A67&lt;=41,"34-41",A67&lt;=49,"42-49",A67&gt;49,"50 or above")</f>
        <v>18-25</v>
      </c>
      <c r="C67" t="s">
        <v>62</v>
      </c>
      <c r="D67" t="s">
        <v>105</v>
      </c>
      <c r="E67" t="s">
        <v>109</v>
      </c>
      <c r="F67" t="s">
        <v>90</v>
      </c>
      <c r="G67" t="s">
        <v>66</v>
      </c>
      <c r="H67" t="s">
        <v>66</v>
      </c>
      <c r="I67">
        <v>1</v>
      </c>
      <c r="K67" t="s">
        <v>93</v>
      </c>
      <c r="L67" t="s">
        <v>69</v>
      </c>
      <c r="P67" t="s">
        <v>67</v>
      </c>
      <c r="Q67" t="s">
        <v>117</v>
      </c>
      <c r="R67" t="s">
        <v>94</v>
      </c>
      <c r="S67" t="s">
        <v>95</v>
      </c>
      <c r="T67" t="s">
        <v>73</v>
      </c>
      <c r="U67" t="s">
        <v>74</v>
      </c>
      <c r="Z67" t="str">
        <f>_xlfn.TEXTJOIN(",",TRUE,Table1[[#This Row],[Col5]],Table1[[#This Row],[Col4]],Table1[[#This Row],[Col3]],Table1[[#This Row],[Col2]],Table1[[#This Row],[Col1]])</f>
        <v>Groceries</v>
      </c>
      <c r="AA67" t="s">
        <v>81</v>
      </c>
      <c r="AB67" t="s">
        <v>80</v>
      </c>
      <c r="AC67" t="s">
        <v>81</v>
      </c>
      <c r="AD67" t="s">
        <v>81</v>
      </c>
      <c r="AE67" t="s">
        <v>80</v>
      </c>
      <c r="AF67" t="s">
        <v>81</v>
      </c>
      <c r="AG67" t="s">
        <v>81</v>
      </c>
      <c r="AH67" t="s">
        <v>81</v>
      </c>
      <c r="AI67" t="s">
        <v>81</v>
      </c>
      <c r="AJ67" t="s">
        <v>81</v>
      </c>
      <c r="AK67">
        <v>3</v>
      </c>
      <c r="AL67">
        <v>3</v>
      </c>
      <c r="AM67">
        <v>3</v>
      </c>
      <c r="AN67" t="s">
        <v>104</v>
      </c>
    </row>
    <row r="68" spans="1:60" x14ac:dyDescent="0.35">
      <c r="A68">
        <v>22</v>
      </c>
      <c r="B68" t="str" cm="1">
        <f t="array" ref="B68">_xlfn.IFS(A68&lt;=25,"18-25",A68&lt;=33,"26-33",A68&lt;=41,"34-41",A68&lt;=49,"42-49",A68&gt;49,"50 or above")</f>
        <v>18-25</v>
      </c>
      <c r="C68" t="s">
        <v>62</v>
      </c>
      <c r="D68" t="s">
        <v>63</v>
      </c>
      <c r="E68" t="s">
        <v>64</v>
      </c>
      <c r="F68" t="s">
        <v>65</v>
      </c>
      <c r="G68" t="s">
        <v>66</v>
      </c>
      <c r="H68" t="s">
        <v>66</v>
      </c>
      <c r="I68">
        <v>1</v>
      </c>
      <c r="J68" t="s">
        <v>67</v>
      </c>
      <c r="P68" t="s">
        <v>67</v>
      </c>
      <c r="Q68" t="s">
        <v>70</v>
      </c>
      <c r="R68" t="s">
        <v>110</v>
      </c>
      <c r="S68" t="s">
        <v>72</v>
      </c>
      <c r="T68" t="s">
        <v>73</v>
      </c>
      <c r="U68" t="s">
        <v>74</v>
      </c>
      <c r="W68" t="s">
        <v>76</v>
      </c>
      <c r="X68" t="s">
        <v>77</v>
      </c>
      <c r="Z68" t="str">
        <f>_xlfn.TEXTJOIN(",",TRUE,Table1[[#This Row],[Col5]],Table1[[#This Row],[Col4]],Table1[[#This Row],[Col3]],Table1[[#This Row],[Col2]],Table1[[#This Row],[Col1]])</f>
        <v xml:space="preserve"> Personal Care, Daily Essentials,Groceries</v>
      </c>
      <c r="AA68" t="s">
        <v>80</v>
      </c>
      <c r="AB68" t="s">
        <v>80</v>
      </c>
      <c r="AC68" t="s">
        <v>80</v>
      </c>
      <c r="AD68" t="s">
        <v>80</v>
      </c>
      <c r="AE68" t="s">
        <v>80</v>
      </c>
      <c r="AF68" t="s">
        <v>80</v>
      </c>
      <c r="AG68" t="s">
        <v>80</v>
      </c>
      <c r="AH68" t="s">
        <v>80</v>
      </c>
      <c r="AI68" t="s">
        <v>80</v>
      </c>
      <c r="AJ68" t="s">
        <v>80</v>
      </c>
      <c r="AK68">
        <v>5</v>
      </c>
      <c r="AL68">
        <v>4</v>
      </c>
      <c r="AM68">
        <v>4</v>
      </c>
      <c r="AN68" t="s">
        <v>133</v>
      </c>
    </row>
    <row r="69" spans="1:60" x14ac:dyDescent="0.35">
      <c r="A69">
        <v>25</v>
      </c>
      <c r="B69" t="str" cm="1">
        <f t="array" ref="B69">_xlfn.IFS(A69&lt;=25,"18-25",A69&lt;=33,"26-33",A69&lt;=41,"34-41",A69&lt;=49,"42-49",A69&gt;49,"50 or above")</f>
        <v>18-25</v>
      </c>
      <c r="C69" t="s">
        <v>89</v>
      </c>
      <c r="D69" t="s">
        <v>105</v>
      </c>
      <c r="E69" t="s">
        <v>64</v>
      </c>
      <c r="F69" t="s">
        <v>102</v>
      </c>
      <c r="G69" t="s">
        <v>66</v>
      </c>
      <c r="H69" t="s">
        <v>66</v>
      </c>
      <c r="I69">
        <v>1</v>
      </c>
      <c r="L69" t="s">
        <v>91</v>
      </c>
      <c r="P69" t="s">
        <v>91</v>
      </c>
      <c r="Q69" t="s">
        <v>70</v>
      </c>
      <c r="R69" t="s">
        <v>110</v>
      </c>
      <c r="S69" t="s">
        <v>95</v>
      </c>
      <c r="T69" t="s">
        <v>99</v>
      </c>
      <c r="V69" t="s">
        <v>96</v>
      </c>
      <c r="W69" t="s">
        <v>76</v>
      </c>
      <c r="X69" t="s">
        <v>132</v>
      </c>
      <c r="Z69" t="str">
        <f>_xlfn.TEXTJOIN(",",TRUE,Table1[[#This Row],[Col5]],Table1[[#This Row],[Col4]],Table1[[#This Row],[Col3]],Table1[[#This Row],[Col2]],Table1[[#This Row],[Col1]])</f>
        <v xml:space="preserve"> , Daily Essentials,Snacks and Beverages</v>
      </c>
      <c r="AA69" t="s">
        <v>80</v>
      </c>
      <c r="AB69" t="s">
        <v>80</v>
      </c>
      <c r="AC69" t="s">
        <v>80</v>
      </c>
      <c r="AD69" t="s">
        <v>80</v>
      </c>
      <c r="AE69" t="s">
        <v>80</v>
      </c>
      <c r="AF69" t="s">
        <v>80</v>
      </c>
      <c r="AG69" t="s">
        <v>80</v>
      </c>
      <c r="AH69" t="s">
        <v>80</v>
      </c>
      <c r="AI69" t="s">
        <v>80</v>
      </c>
      <c r="AJ69" t="s">
        <v>80</v>
      </c>
      <c r="AK69">
        <v>5</v>
      </c>
      <c r="AL69">
        <v>4</v>
      </c>
      <c r="AM69">
        <v>4</v>
      </c>
      <c r="AN69" t="s">
        <v>97</v>
      </c>
    </row>
    <row r="70" spans="1:60" x14ac:dyDescent="0.35">
      <c r="A70">
        <v>31</v>
      </c>
      <c r="B70" t="str" cm="1">
        <f t="array" ref="B70">_xlfn.IFS(A70&lt;=25,"18-25",A70&lt;=33,"26-33",A70&lt;=41,"34-41",A70&lt;=49,"42-49",A70&gt;49,"50 or above")</f>
        <v>26-33</v>
      </c>
      <c r="C70" t="s">
        <v>89</v>
      </c>
      <c r="D70" t="s">
        <v>105</v>
      </c>
      <c r="E70" t="s">
        <v>86</v>
      </c>
      <c r="F70" t="s">
        <v>87</v>
      </c>
      <c r="G70" t="s">
        <v>66</v>
      </c>
      <c r="H70" t="s">
        <v>66</v>
      </c>
      <c r="I70">
        <v>1</v>
      </c>
      <c r="J70" t="s">
        <v>67</v>
      </c>
      <c r="K70" t="s">
        <v>68</v>
      </c>
      <c r="L70" t="s">
        <v>69</v>
      </c>
      <c r="P70" t="s">
        <v>67</v>
      </c>
      <c r="Q70" t="s">
        <v>98</v>
      </c>
      <c r="R70" t="s">
        <v>71</v>
      </c>
      <c r="S70" t="s">
        <v>72</v>
      </c>
      <c r="T70" t="s">
        <v>73</v>
      </c>
      <c r="U70" t="s">
        <v>74</v>
      </c>
      <c r="V70" t="s">
        <v>75</v>
      </c>
      <c r="W70" t="s">
        <v>76</v>
      </c>
      <c r="Z70" t="str">
        <f>_xlfn.TEXTJOIN(",",TRUE,Table1[[#This Row],[Col5]],Table1[[#This Row],[Col4]],Table1[[#This Row],[Col3]],Table1[[#This Row],[Col2]],Table1[[#This Row],[Col1]])</f>
        <v xml:space="preserve"> Daily Essentials, Snacks and Beverages,Groceries</v>
      </c>
      <c r="AA70" t="s">
        <v>78</v>
      </c>
      <c r="AB70" t="s">
        <v>80</v>
      </c>
      <c r="AC70" t="s">
        <v>78</v>
      </c>
      <c r="AD70" t="s">
        <v>81</v>
      </c>
      <c r="AE70" t="s">
        <v>81</v>
      </c>
      <c r="AF70" t="s">
        <v>80</v>
      </c>
      <c r="AG70" t="s">
        <v>80</v>
      </c>
      <c r="AH70" t="s">
        <v>80</v>
      </c>
      <c r="AI70" t="s">
        <v>78</v>
      </c>
      <c r="AJ70" t="s">
        <v>80</v>
      </c>
      <c r="AK70">
        <v>4</v>
      </c>
      <c r="AL70">
        <v>4</v>
      </c>
      <c r="AM70">
        <v>4</v>
      </c>
      <c r="AN70" t="s">
        <v>97</v>
      </c>
    </row>
    <row r="71" spans="1:60" x14ac:dyDescent="0.35">
      <c r="A71">
        <v>18</v>
      </c>
      <c r="B71" t="str" cm="1">
        <f t="array" ref="B71">_xlfn.IFS(A71&lt;=25,"18-25",A71&lt;=33,"26-33",A71&lt;=41,"34-41",A71&lt;=49,"42-49",A71&gt;49,"50 or above")</f>
        <v>18-25</v>
      </c>
      <c r="C71" t="s">
        <v>89</v>
      </c>
      <c r="D71" t="s">
        <v>119</v>
      </c>
      <c r="E71" t="s">
        <v>64</v>
      </c>
      <c r="F71" t="s">
        <v>127</v>
      </c>
      <c r="G71" t="s">
        <v>66</v>
      </c>
      <c r="H71" t="s">
        <v>66</v>
      </c>
      <c r="I71">
        <v>1</v>
      </c>
      <c r="J71" t="s">
        <v>67</v>
      </c>
      <c r="K71" t="s">
        <v>68</v>
      </c>
      <c r="L71" t="s">
        <v>69</v>
      </c>
      <c r="P71" t="s">
        <v>67</v>
      </c>
      <c r="Q71" t="s">
        <v>70</v>
      </c>
      <c r="R71" t="s">
        <v>94</v>
      </c>
      <c r="S71" t="s">
        <v>72</v>
      </c>
      <c r="T71" t="s">
        <v>73</v>
      </c>
      <c r="W71" t="s">
        <v>134</v>
      </c>
      <c r="Z71" t="str">
        <f>_xlfn.TEXTJOIN(",",TRUE,Table1[[#This Row],[Col5]],Table1[[#This Row],[Col4]],Table1[[#This Row],[Col3]],Table1[[#This Row],[Col2]],Table1[[#This Row],[Col1]])</f>
        <v>Daily Essentials</v>
      </c>
      <c r="AA71" t="s">
        <v>78</v>
      </c>
      <c r="AB71" t="s">
        <v>78</v>
      </c>
      <c r="AC71" t="s">
        <v>80</v>
      </c>
      <c r="AD71" t="s">
        <v>80</v>
      </c>
      <c r="AE71" t="s">
        <v>79</v>
      </c>
      <c r="AF71" t="s">
        <v>78</v>
      </c>
      <c r="AG71" t="s">
        <v>80</v>
      </c>
      <c r="AH71" t="s">
        <v>80</v>
      </c>
      <c r="AI71" t="s">
        <v>81</v>
      </c>
      <c r="AJ71" t="s">
        <v>78</v>
      </c>
      <c r="AK71">
        <v>4</v>
      </c>
      <c r="AL71">
        <v>5</v>
      </c>
      <c r="AM71">
        <v>5</v>
      </c>
      <c r="AN71" t="s">
        <v>82</v>
      </c>
      <c r="AR71" t="s">
        <v>118</v>
      </c>
    </row>
    <row r="72" spans="1:60" x14ac:dyDescent="0.35">
      <c r="A72">
        <v>21</v>
      </c>
      <c r="B72" t="str" cm="1">
        <f t="array" ref="B72">_xlfn.IFS(A72&lt;=25,"18-25",A72&lt;=33,"26-33",A72&lt;=41,"34-41",A72&lt;=49,"42-49",A72&gt;49,"50 or above")</f>
        <v>18-25</v>
      </c>
      <c r="C72" t="s">
        <v>62</v>
      </c>
      <c r="D72" t="s">
        <v>63</v>
      </c>
      <c r="E72" t="s">
        <v>64</v>
      </c>
      <c r="F72" t="s">
        <v>87</v>
      </c>
      <c r="G72" t="s">
        <v>66</v>
      </c>
      <c r="H72" t="s">
        <v>88</v>
      </c>
      <c r="I72">
        <v>0</v>
      </c>
      <c r="Z72" t="str">
        <f>_xlfn.TEXTJOIN(",",TRUE,Table1[[#This Row],[Col5]],Table1[[#This Row],[Col4]],Table1[[#This Row],[Col3]],Table1[[#This Row],[Col2]],Table1[[#This Row],[Col1]])</f>
        <v/>
      </c>
      <c r="AR72" t="s">
        <v>118</v>
      </c>
      <c r="AS72" t="s">
        <v>124</v>
      </c>
      <c r="AT72" t="s">
        <v>137</v>
      </c>
      <c r="AU72" t="s">
        <v>138</v>
      </c>
      <c r="AY72" t="s">
        <v>66</v>
      </c>
      <c r="AZ72" t="s">
        <v>66</v>
      </c>
      <c r="BA72" t="s">
        <v>66</v>
      </c>
      <c r="BB72" t="s">
        <v>81</v>
      </c>
      <c r="BC72" t="s">
        <v>78</v>
      </c>
      <c r="BD72" t="s">
        <v>80</v>
      </c>
      <c r="BE72" t="s">
        <v>80</v>
      </c>
      <c r="BF72" t="s">
        <v>80</v>
      </c>
      <c r="BG72" t="s">
        <v>79</v>
      </c>
      <c r="BH72" t="s">
        <v>78</v>
      </c>
    </row>
    <row r="73" spans="1:60" x14ac:dyDescent="0.35">
      <c r="A73">
        <v>60</v>
      </c>
      <c r="B73" t="str" cm="1">
        <f t="array" ref="B73">_xlfn.IFS(A73&lt;=25,"18-25",A73&lt;=33,"26-33",A73&lt;=41,"34-41",A73&lt;=49,"42-49",A73&gt;49,"50 or above")</f>
        <v>50 or above</v>
      </c>
      <c r="C73" t="s">
        <v>62</v>
      </c>
      <c r="D73" t="s">
        <v>120</v>
      </c>
      <c r="E73" t="s">
        <v>109</v>
      </c>
      <c r="F73" t="s">
        <v>65</v>
      </c>
      <c r="G73" t="s">
        <v>66</v>
      </c>
      <c r="H73" t="s">
        <v>88</v>
      </c>
      <c r="I73">
        <v>0</v>
      </c>
      <c r="Z73" t="str">
        <f>_xlfn.TEXTJOIN(",",TRUE,Table1[[#This Row],[Col5]],Table1[[#This Row],[Col4]],Table1[[#This Row],[Col3]],Table1[[#This Row],[Col2]],Table1[[#This Row],[Col1]])</f>
        <v/>
      </c>
      <c r="AY73" t="s">
        <v>88</v>
      </c>
      <c r="AZ73" t="s">
        <v>125</v>
      </c>
      <c r="BA73" t="s">
        <v>66</v>
      </c>
      <c r="BB73" t="s">
        <v>80</v>
      </c>
      <c r="BC73" t="s">
        <v>81</v>
      </c>
      <c r="BD73" t="s">
        <v>80</v>
      </c>
      <c r="BE73" t="s">
        <v>81</v>
      </c>
      <c r="BF73" t="s">
        <v>80</v>
      </c>
      <c r="BG73" t="s">
        <v>80</v>
      </c>
      <c r="BH73" t="s">
        <v>78</v>
      </c>
    </row>
    <row r="74" spans="1:60" x14ac:dyDescent="0.35">
      <c r="A74">
        <v>35</v>
      </c>
      <c r="B74" t="str" cm="1">
        <f t="array" ref="B74">_xlfn.IFS(A74&lt;=25,"18-25",A74&lt;=33,"26-33",A74&lt;=41,"34-41",A74&lt;=49,"42-49",A74&gt;49,"50 or above")</f>
        <v>34-41</v>
      </c>
      <c r="C74" t="s">
        <v>62</v>
      </c>
      <c r="D74" t="s">
        <v>116</v>
      </c>
      <c r="E74" t="s">
        <v>109</v>
      </c>
      <c r="F74" t="s">
        <v>65</v>
      </c>
      <c r="G74" t="s">
        <v>66</v>
      </c>
      <c r="H74" t="s">
        <v>66</v>
      </c>
      <c r="I74">
        <v>1</v>
      </c>
      <c r="J74" t="s">
        <v>67</v>
      </c>
      <c r="K74" t="s">
        <v>68</v>
      </c>
      <c r="P74" t="s">
        <v>67</v>
      </c>
      <c r="Q74" t="s">
        <v>98</v>
      </c>
      <c r="R74" t="s">
        <v>110</v>
      </c>
      <c r="S74" t="s">
        <v>95</v>
      </c>
      <c r="T74" t="s">
        <v>73</v>
      </c>
      <c r="U74" t="s">
        <v>74</v>
      </c>
      <c r="V74" t="s">
        <v>75</v>
      </c>
      <c r="W74" t="s">
        <v>76</v>
      </c>
      <c r="X74" t="s">
        <v>77</v>
      </c>
      <c r="Z74" t="str">
        <f>_xlfn.TEXTJOIN(",",TRUE,Table1[[#This Row],[Col5]],Table1[[#This Row],[Col4]],Table1[[#This Row],[Col3]],Table1[[#This Row],[Col2]],Table1[[#This Row],[Col1]])</f>
        <v xml:space="preserve"> Personal Care, Daily Essentials, Snacks and Beverages,Groceries</v>
      </c>
      <c r="AA74" t="s">
        <v>80</v>
      </c>
      <c r="AB74" t="s">
        <v>80</v>
      </c>
      <c r="AC74" t="s">
        <v>80</v>
      </c>
      <c r="AD74" t="s">
        <v>80</v>
      </c>
      <c r="AE74" t="s">
        <v>80</v>
      </c>
      <c r="AF74" t="s">
        <v>80</v>
      </c>
      <c r="AG74" t="s">
        <v>80</v>
      </c>
      <c r="AH74" t="s">
        <v>80</v>
      </c>
      <c r="AI74" t="s">
        <v>80</v>
      </c>
      <c r="AJ74" t="s">
        <v>80</v>
      </c>
      <c r="AK74">
        <v>5</v>
      </c>
      <c r="AL74">
        <v>4</v>
      </c>
      <c r="AM74">
        <v>5</v>
      </c>
      <c r="AN74" t="s">
        <v>115</v>
      </c>
    </row>
    <row r="75" spans="1:60" x14ac:dyDescent="0.35">
      <c r="A75">
        <v>35</v>
      </c>
      <c r="B75" t="str" cm="1">
        <f t="array" ref="B75">_xlfn.IFS(A75&lt;=25,"18-25",A75&lt;=33,"26-33",A75&lt;=41,"34-41",A75&lt;=49,"42-49",A75&gt;49,"50 or above")</f>
        <v>34-41</v>
      </c>
      <c r="C75" t="s">
        <v>62</v>
      </c>
      <c r="D75" t="s">
        <v>63</v>
      </c>
      <c r="E75" t="s">
        <v>86</v>
      </c>
      <c r="F75" t="s">
        <v>65</v>
      </c>
      <c r="G75" t="s">
        <v>66</v>
      </c>
      <c r="H75" t="s">
        <v>66</v>
      </c>
      <c r="I75">
        <v>1</v>
      </c>
      <c r="J75" t="s">
        <v>67</v>
      </c>
      <c r="K75" t="s">
        <v>68</v>
      </c>
      <c r="L75" t="s">
        <v>69</v>
      </c>
      <c r="M75" t="s">
        <v>132</v>
      </c>
      <c r="P75" t="s">
        <v>67</v>
      </c>
      <c r="Q75" t="s">
        <v>70</v>
      </c>
      <c r="R75" t="s">
        <v>71</v>
      </c>
      <c r="S75" t="s">
        <v>107</v>
      </c>
      <c r="T75" t="s">
        <v>73</v>
      </c>
      <c r="V75" t="s">
        <v>96</v>
      </c>
      <c r="W75" t="s">
        <v>76</v>
      </c>
      <c r="X75" t="s">
        <v>77</v>
      </c>
      <c r="Z75" t="str">
        <f>_xlfn.TEXTJOIN(",",TRUE,Table1[[#This Row],[Col5]],Table1[[#This Row],[Col4]],Table1[[#This Row],[Col3]],Table1[[#This Row],[Col2]],Table1[[#This Row],[Col1]])</f>
        <v xml:space="preserve"> Personal Care, Daily Essentials,Snacks and Beverages</v>
      </c>
      <c r="AA75" t="s">
        <v>78</v>
      </c>
      <c r="AB75" t="s">
        <v>78</v>
      </c>
      <c r="AC75" t="s">
        <v>80</v>
      </c>
      <c r="AD75" t="s">
        <v>80</v>
      </c>
      <c r="AE75" t="s">
        <v>79</v>
      </c>
      <c r="AF75" t="s">
        <v>80</v>
      </c>
      <c r="AG75" t="s">
        <v>78</v>
      </c>
      <c r="AH75" t="s">
        <v>78</v>
      </c>
      <c r="AI75" t="s">
        <v>81</v>
      </c>
      <c r="AJ75" t="s">
        <v>78</v>
      </c>
      <c r="AK75">
        <v>5</v>
      </c>
      <c r="AL75">
        <v>5</v>
      </c>
      <c r="AM75">
        <v>4</v>
      </c>
      <c r="AN75" t="s">
        <v>133</v>
      </c>
      <c r="AR75" t="s">
        <v>118</v>
      </c>
      <c r="AV75" t="s">
        <v>139</v>
      </c>
    </row>
    <row r="76" spans="1:60" x14ac:dyDescent="0.35">
      <c r="A76">
        <v>60</v>
      </c>
      <c r="B76" t="str" cm="1">
        <f t="array" ref="B76">_xlfn.IFS(A76&lt;=25,"18-25",A76&lt;=33,"26-33",A76&lt;=41,"34-41",A76&lt;=49,"42-49",A76&gt;49,"50 or above")</f>
        <v>50 or above</v>
      </c>
      <c r="C76" t="s">
        <v>62</v>
      </c>
      <c r="D76" t="s">
        <v>119</v>
      </c>
      <c r="E76" t="s">
        <v>136</v>
      </c>
      <c r="F76" t="s">
        <v>87</v>
      </c>
      <c r="G76" t="s">
        <v>66</v>
      </c>
      <c r="H76" t="s">
        <v>88</v>
      </c>
      <c r="I76">
        <v>0</v>
      </c>
      <c r="Z76" t="str">
        <f>_xlfn.TEXTJOIN(",",TRUE,Table1[[#This Row],[Col5]],Table1[[#This Row],[Col4]],Table1[[#This Row],[Col3]],Table1[[#This Row],[Col2]],Table1[[#This Row],[Col1]])</f>
        <v/>
      </c>
      <c r="AY76" t="s">
        <v>66</v>
      </c>
      <c r="AZ76" t="s">
        <v>125</v>
      </c>
      <c r="BA76" t="s">
        <v>66</v>
      </c>
      <c r="BB76" t="s">
        <v>81</v>
      </c>
      <c r="BC76" t="s">
        <v>81</v>
      </c>
      <c r="BD76" t="s">
        <v>80</v>
      </c>
      <c r="BE76" t="s">
        <v>81</v>
      </c>
      <c r="BF76" t="s">
        <v>81</v>
      </c>
      <c r="BG76" t="s">
        <v>81</v>
      </c>
      <c r="BH76" t="s">
        <v>81</v>
      </c>
    </row>
    <row r="77" spans="1:60" x14ac:dyDescent="0.35">
      <c r="A77">
        <v>18</v>
      </c>
      <c r="B77" t="str" cm="1">
        <f t="array" ref="B77">_xlfn.IFS(A77&lt;=25,"18-25",A77&lt;=33,"26-33",A77&lt;=41,"34-41",A77&lt;=49,"42-49",A77&gt;49,"50 or above")</f>
        <v>18-25</v>
      </c>
      <c r="C77" t="s">
        <v>89</v>
      </c>
      <c r="D77" t="s">
        <v>63</v>
      </c>
      <c r="E77" t="s">
        <v>64</v>
      </c>
      <c r="F77" t="s">
        <v>65</v>
      </c>
      <c r="G77" t="s">
        <v>66</v>
      </c>
      <c r="H77" t="s">
        <v>66</v>
      </c>
      <c r="I77">
        <v>1</v>
      </c>
      <c r="J77" t="s">
        <v>67</v>
      </c>
      <c r="P77" t="s">
        <v>67</v>
      </c>
      <c r="Q77" t="s">
        <v>117</v>
      </c>
      <c r="R77" t="s">
        <v>92</v>
      </c>
      <c r="S77" t="s">
        <v>113</v>
      </c>
      <c r="T77" t="s">
        <v>99</v>
      </c>
      <c r="U77" t="s">
        <v>74</v>
      </c>
      <c r="Z77" t="str">
        <f>_xlfn.TEXTJOIN(",",TRUE,Table1[[#This Row],[Col5]],Table1[[#This Row],[Col4]],Table1[[#This Row],[Col3]],Table1[[#This Row],[Col2]],Table1[[#This Row],[Col1]])</f>
        <v>Groceries</v>
      </c>
      <c r="AA77" t="s">
        <v>80</v>
      </c>
      <c r="AB77" t="s">
        <v>81</v>
      </c>
      <c r="AC77" t="s">
        <v>81</v>
      </c>
      <c r="AD77" t="s">
        <v>81</v>
      </c>
      <c r="AE77" t="s">
        <v>81</v>
      </c>
      <c r="AF77" t="s">
        <v>81</v>
      </c>
      <c r="AG77" t="s">
        <v>80</v>
      </c>
      <c r="AH77" t="s">
        <v>81</v>
      </c>
      <c r="AI77" t="s">
        <v>79</v>
      </c>
      <c r="AJ77" t="s">
        <v>81</v>
      </c>
      <c r="AK77">
        <v>4</v>
      </c>
      <c r="AL77">
        <v>4</v>
      </c>
      <c r="AM77">
        <v>4</v>
      </c>
      <c r="AN77" t="s">
        <v>115</v>
      </c>
    </row>
    <row r="78" spans="1:60" x14ac:dyDescent="0.35">
      <c r="A78">
        <v>18</v>
      </c>
      <c r="B78" t="str" cm="1">
        <f t="array" ref="B78">_xlfn.IFS(A78&lt;=25,"18-25",A78&lt;=33,"26-33",A78&lt;=41,"34-41",A78&lt;=49,"42-49",A78&gt;49,"50 or above")</f>
        <v>18-25</v>
      </c>
      <c r="C78" t="s">
        <v>89</v>
      </c>
      <c r="D78" t="s">
        <v>63</v>
      </c>
      <c r="E78" t="s">
        <v>64</v>
      </c>
      <c r="F78" t="s">
        <v>65</v>
      </c>
      <c r="G78" t="s">
        <v>66</v>
      </c>
      <c r="H78" t="s">
        <v>66</v>
      </c>
      <c r="I78">
        <v>1</v>
      </c>
      <c r="J78" t="s">
        <v>67</v>
      </c>
      <c r="K78" t="s">
        <v>68</v>
      </c>
      <c r="L78" t="s">
        <v>69</v>
      </c>
      <c r="P78" t="s">
        <v>93</v>
      </c>
      <c r="Q78" t="s">
        <v>70</v>
      </c>
      <c r="R78" t="s">
        <v>92</v>
      </c>
      <c r="S78" t="s">
        <v>72</v>
      </c>
      <c r="T78" t="s">
        <v>73</v>
      </c>
      <c r="U78" t="s">
        <v>74</v>
      </c>
      <c r="V78" t="s">
        <v>75</v>
      </c>
      <c r="Z78" t="str">
        <f>_xlfn.TEXTJOIN(",",TRUE,Table1[[#This Row],[Col5]],Table1[[#This Row],[Col4]],Table1[[#This Row],[Col3]],Table1[[#This Row],[Col2]],Table1[[#This Row],[Col1]])</f>
        <v xml:space="preserve"> Snacks and Beverages,Groceries</v>
      </c>
      <c r="AA78" t="s">
        <v>78</v>
      </c>
      <c r="AB78" t="s">
        <v>78</v>
      </c>
      <c r="AC78" t="s">
        <v>78</v>
      </c>
      <c r="AD78" t="s">
        <v>78</v>
      </c>
      <c r="AE78" t="s">
        <v>80</v>
      </c>
      <c r="AF78" t="s">
        <v>78</v>
      </c>
      <c r="AG78" t="s">
        <v>78</v>
      </c>
      <c r="AH78" t="s">
        <v>78</v>
      </c>
      <c r="AI78" t="s">
        <v>81</v>
      </c>
      <c r="AJ78" t="s">
        <v>81</v>
      </c>
      <c r="AK78">
        <v>4</v>
      </c>
      <c r="AL78">
        <v>4</v>
      </c>
      <c r="AM78">
        <v>4</v>
      </c>
      <c r="AN78" t="s">
        <v>104</v>
      </c>
    </row>
    <row r="79" spans="1:60" x14ac:dyDescent="0.35">
      <c r="A79">
        <v>31</v>
      </c>
      <c r="B79" t="str" cm="1">
        <f t="array" ref="B79">_xlfn.IFS(A79&lt;=25,"18-25",A79&lt;=33,"26-33",A79&lt;=41,"34-41",A79&lt;=49,"42-49",A79&gt;49,"50 or above")</f>
        <v>26-33</v>
      </c>
      <c r="C79" t="s">
        <v>62</v>
      </c>
      <c r="D79" t="s">
        <v>116</v>
      </c>
      <c r="E79" t="s">
        <v>109</v>
      </c>
      <c r="F79" t="s">
        <v>90</v>
      </c>
      <c r="G79" t="s">
        <v>66</v>
      </c>
      <c r="H79" t="s">
        <v>66</v>
      </c>
      <c r="I79">
        <v>1</v>
      </c>
      <c r="L79" t="s">
        <v>91</v>
      </c>
      <c r="P79" t="s">
        <v>93</v>
      </c>
      <c r="Q79" t="s">
        <v>103</v>
      </c>
      <c r="R79" t="s">
        <v>71</v>
      </c>
      <c r="S79" t="s">
        <v>95</v>
      </c>
      <c r="T79" t="s">
        <v>140</v>
      </c>
      <c r="V79" t="s">
        <v>96</v>
      </c>
      <c r="Z79" t="str">
        <f>_xlfn.TEXTJOIN(",",TRUE,Table1[[#This Row],[Col5]],Table1[[#This Row],[Col4]],Table1[[#This Row],[Col3]],Table1[[#This Row],[Col2]],Table1[[#This Row],[Col1]])</f>
        <v>Snacks and Beverages</v>
      </c>
      <c r="AA79" t="s">
        <v>80</v>
      </c>
      <c r="AB79" t="s">
        <v>81</v>
      </c>
      <c r="AC79" t="s">
        <v>80</v>
      </c>
      <c r="AD79" t="s">
        <v>81</v>
      </c>
      <c r="AE79" t="s">
        <v>78</v>
      </c>
      <c r="AF79" t="s">
        <v>81</v>
      </c>
      <c r="AG79" t="s">
        <v>81</v>
      </c>
      <c r="AH79" t="s">
        <v>81</v>
      </c>
      <c r="AI79" t="s">
        <v>78</v>
      </c>
      <c r="AJ79" t="s">
        <v>81</v>
      </c>
      <c r="AK79">
        <v>3</v>
      </c>
      <c r="AL79">
        <v>4</v>
      </c>
      <c r="AM79">
        <v>2</v>
      </c>
      <c r="AN79" t="s">
        <v>115</v>
      </c>
    </row>
    <row r="80" spans="1:60" x14ac:dyDescent="0.35">
      <c r="A80">
        <v>59</v>
      </c>
      <c r="B80" t="str" cm="1">
        <f t="array" ref="B80">_xlfn.IFS(A80&lt;=25,"18-25",A80&lt;=33,"26-33",A80&lt;=41,"34-41",A80&lt;=49,"42-49",A80&gt;49,"50 or above")</f>
        <v>50 or above</v>
      </c>
      <c r="C80" t="s">
        <v>89</v>
      </c>
      <c r="D80" t="s">
        <v>63</v>
      </c>
      <c r="E80" t="s">
        <v>121</v>
      </c>
      <c r="F80" t="s">
        <v>87</v>
      </c>
      <c r="G80" t="s">
        <v>66</v>
      </c>
      <c r="H80" t="s">
        <v>66</v>
      </c>
      <c r="I80">
        <v>1</v>
      </c>
      <c r="J80" t="s">
        <v>67</v>
      </c>
      <c r="K80" t="s">
        <v>68</v>
      </c>
      <c r="L80" t="s">
        <v>69</v>
      </c>
      <c r="P80" t="s">
        <v>67</v>
      </c>
      <c r="Q80" t="s">
        <v>103</v>
      </c>
      <c r="R80" t="s">
        <v>71</v>
      </c>
      <c r="S80" t="s">
        <v>113</v>
      </c>
      <c r="T80" t="s">
        <v>112</v>
      </c>
      <c r="U80" t="s">
        <v>74</v>
      </c>
      <c r="Z80" t="str">
        <f>_xlfn.TEXTJOIN(",",TRUE,Table1[[#This Row],[Col5]],Table1[[#This Row],[Col4]],Table1[[#This Row],[Col3]],Table1[[#This Row],[Col2]],Table1[[#This Row],[Col1]])</f>
        <v>Groceries</v>
      </c>
      <c r="AA80" t="s">
        <v>80</v>
      </c>
      <c r="AB80" t="s">
        <v>81</v>
      </c>
      <c r="AC80" t="s">
        <v>81</v>
      </c>
      <c r="AD80" t="s">
        <v>79</v>
      </c>
      <c r="AE80" t="s">
        <v>79</v>
      </c>
      <c r="AF80" t="s">
        <v>81</v>
      </c>
      <c r="AG80" t="s">
        <v>79</v>
      </c>
      <c r="AH80" t="s">
        <v>79</v>
      </c>
      <c r="AI80" t="s">
        <v>81</v>
      </c>
      <c r="AJ80" t="s">
        <v>79</v>
      </c>
      <c r="AK80">
        <v>4</v>
      </c>
      <c r="AL80">
        <v>4</v>
      </c>
      <c r="AM80">
        <v>3</v>
      </c>
      <c r="AN80" t="s">
        <v>97</v>
      </c>
    </row>
    <row r="81" spans="1:60" x14ac:dyDescent="0.35">
      <c r="A81">
        <v>30</v>
      </c>
      <c r="B81" t="str" cm="1">
        <f t="array" ref="B81">_xlfn.IFS(A81&lt;=25,"18-25",A81&lt;=33,"26-33",A81&lt;=41,"34-41",A81&lt;=49,"42-49",A81&gt;49,"50 or above")</f>
        <v>26-33</v>
      </c>
      <c r="C81" t="s">
        <v>89</v>
      </c>
      <c r="D81" t="s">
        <v>63</v>
      </c>
      <c r="E81" t="s">
        <v>109</v>
      </c>
      <c r="F81" t="s">
        <v>90</v>
      </c>
      <c r="G81" t="s">
        <v>66</v>
      </c>
      <c r="H81" t="s">
        <v>66</v>
      </c>
      <c r="I81">
        <v>1</v>
      </c>
      <c r="J81" t="s">
        <v>67</v>
      </c>
      <c r="K81" t="s">
        <v>68</v>
      </c>
      <c r="L81" t="s">
        <v>69</v>
      </c>
      <c r="P81" t="s">
        <v>93</v>
      </c>
      <c r="Q81" t="s">
        <v>70</v>
      </c>
      <c r="R81" t="s">
        <v>92</v>
      </c>
      <c r="S81" t="s">
        <v>72</v>
      </c>
      <c r="T81" t="s">
        <v>99</v>
      </c>
      <c r="U81" t="s">
        <v>74</v>
      </c>
      <c r="Z81" t="str">
        <f>_xlfn.TEXTJOIN(",",TRUE,Table1[[#This Row],[Col5]],Table1[[#This Row],[Col4]],Table1[[#This Row],[Col3]],Table1[[#This Row],[Col2]],Table1[[#This Row],[Col1]])</f>
        <v>Groceries</v>
      </c>
      <c r="AA81" t="s">
        <v>80</v>
      </c>
      <c r="AB81" t="s">
        <v>81</v>
      </c>
      <c r="AC81" t="s">
        <v>81</v>
      </c>
      <c r="AD81" t="s">
        <v>81</v>
      </c>
      <c r="AE81" t="s">
        <v>81</v>
      </c>
      <c r="AF81" t="s">
        <v>80</v>
      </c>
      <c r="AG81" t="s">
        <v>80</v>
      </c>
      <c r="AH81" t="s">
        <v>80</v>
      </c>
      <c r="AI81" t="s">
        <v>81</v>
      </c>
      <c r="AJ81" t="s">
        <v>81</v>
      </c>
      <c r="AK81">
        <v>4</v>
      </c>
      <c r="AL81">
        <v>4</v>
      </c>
      <c r="AM81">
        <v>4</v>
      </c>
      <c r="AN81" t="s">
        <v>82</v>
      </c>
    </row>
    <row r="82" spans="1:60" x14ac:dyDescent="0.35">
      <c r="A82">
        <v>50</v>
      </c>
      <c r="B82" t="str" cm="1">
        <f t="array" ref="B82">_xlfn.IFS(A82&lt;=25,"18-25",A82&lt;=33,"26-33",A82&lt;=41,"34-41",A82&lt;=49,"42-49",A82&gt;49,"50 or above")</f>
        <v>50 or above</v>
      </c>
      <c r="C82" t="s">
        <v>62</v>
      </c>
      <c r="D82" t="s">
        <v>116</v>
      </c>
      <c r="E82" t="s">
        <v>86</v>
      </c>
      <c r="F82" t="s">
        <v>65</v>
      </c>
      <c r="G82" t="s">
        <v>66</v>
      </c>
      <c r="H82" t="s">
        <v>66</v>
      </c>
      <c r="I82">
        <v>1</v>
      </c>
      <c r="J82" t="s">
        <v>67</v>
      </c>
      <c r="K82" t="s">
        <v>68</v>
      </c>
      <c r="L82" t="s">
        <v>69</v>
      </c>
      <c r="P82" t="s">
        <v>93</v>
      </c>
      <c r="Q82" t="s">
        <v>70</v>
      </c>
      <c r="R82" t="s">
        <v>110</v>
      </c>
      <c r="S82" t="s">
        <v>95</v>
      </c>
      <c r="T82" t="s">
        <v>73</v>
      </c>
      <c r="U82" t="s">
        <v>74</v>
      </c>
      <c r="V82" t="s">
        <v>75</v>
      </c>
      <c r="W82" t="s">
        <v>76</v>
      </c>
      <c r="X82" t="s">
        <v>77</v>
      </c>
      <c r="Y82" t="s">
        <v>108</v>
      </c>
      <c r="Z82" t="str">
        <f>_xlfn.TEXTJOIN(",",TRUE,Table1[[#This Row],[Col5]],Table1[[#This Row],[Col4]],Table1[[#This Row],[Col3]],Table1[[#This Row],[Col2]],Table1[[#This Row],[Col1]])</f>
        <v xml:space="preserve"> Medicines, Personal Care, Daily Essentials, Snacks and Beverages,Groceries</v>
      </c>
      <c r="AA82" t="s">
        <v>80</v>
      </c>
      <c r="AB82" t="s">
        <v>81</v>
      </c>
      <c r="AC82" t="s">
        <v>80</v>
      </c>
      <c r="AD82" t="s">
        <v>80</v>
      </c>
      <c r="AE82" t="s">
        <v>80</v>
      </c>
      <c r="AF82" t="s">
        <v>80</v>
      </c>
      <c r="AG82" t="s">
        <v>80</v>
      </c>
      <c r="AH82" t="s">
        <v>80</v>
      </c>
      <c r="AI82" t="s">
        <v>80</v>
      </c>
      <c r="AJ82" t="s">
        <v>80</v>
      </c>
      <c r="AK82">
        <v>5</v>
      </c>
      <c r="AL82">
        <v>5</v>
      </c>
      <c r="AM82">
        <v>5</v>
      </c>
      <c r="AN82" t="s">
        <v>104</v>
      </c>
      <c r="AO82" t="s">
        <v>141</v>
      </c>
      <c r="AP82" t="s">
        <v>84</v>
      </c>
      <c r="AR82" t="s">
        <v>118</v>
      </c>
      <c r="AS82" t="s">
        <v>124</v>
      </c>
      <c r="AW82" t="s">
        <v>142</v>
      </c>
    </row>
    <row r="83" spans="1:60" x14ac:dyDescent="0.35">
      <c r="A83">
        <v>35</v>
      </c>
      <c r="B83" t="str" cm="1">
        <f t="array" ref="B83">_xlfn.IFS(A83&lt;=25,"18-25",A83&lt;=33,"26-33",A83&lt;=41,"34-41",A83&lt;=49,"42-49",A83&gt;49,"50 or above")</f>
        <v>34-41</v>
      </c>
      <c r="C83" t="s">
        <v>62</v>
      </c>
      <c r="D83" t="s">
        <v>105</v>
      </c>
      <c r="E83" t="s">
        <v>86</v>
      </c>
      <c r="F83" t="s">
        <v>65</v>
      </c>
      <c r="G83" t="s">
        <v>66</v>
      </c>
      <c r="H83" t="s">
        <v>88</v>
      </c>
      <c r="I83">
        <v>0</v>
      </c>
      <c r="Z83" t="str">
        <f>_xlfn.TEXTJOIN(",",TRUE,Table1[[#This Row],[Col5]],Table1[[#This Row],[Col4]],Table1[[#This Row],[Col3]],Table1[[#This Row],[Col2]],Table1[[#This Row],[Col1]])</f>
        <v/>
      </c>
      <c r="AP83" t="s">
        <v>84</v>
      </c>
      <c r="AR83" t="s">
        <v>118</v>
      </c>
      <c r="AT83" t="s">
        <v>137</v>
      </c>
      <c r="AU83" t="s">
        <v>138</v>
      </c>
      <c r="AY83" t="s">
        <v>125</v>
      </c>
      <c r="AZ83" t="s">
        <v>125</v>
      </c>
      <c r="BA83" t="s">
        <v>66</v>
      </c>
      <c r="BB83" t="s">
        <v>81</v>
      </c>
      <c r="BC83" t="s">
        <v>79</v>
      </c>
      <c r="BD83" t="s">
        <v>81</v>
      </c>
      <c r="BE83" t="s">
        <v>79</v>
      </c>
      <c r="BF83" t="s">
        <v>81</v>
      </c>
      <c r="BG83" t="s">
        <v>81</v>
      </c>
      <c r="BH83" t="s">
        <v>81</v>
      </c>
    </row>
    <row r="84" spans="1:60" x14ac:dyDescent="0.35">
      <c r="A84">
        <v>53</v>
      </c>
      <c r="B84" t="str" cm="1">
        <f t="array" ref="B84">_xlfn.IFS(A84&lt;=25,"18-25",A84&lt;=33,"26-33",A84&lt;=41,"34-41",A84&lt;=49,"42-49",A84&gt;49,"50 or above")</f>
        <v>50 or above</v>
      </c>
      <c r="C84" t="s">
        <v>62</v>
      </c>
      <c r="D84" t="s">
        <v>105</v>
      </c>
      <c r="E84" t="s">
        <v>109</v>
      </c>
      <c r="F84" t="s">
        <v>102</v>
      </c>
      <c r="G84" t="s">
        <v>66</v>
      </c>
      <c r="H84" t="s">
        <v>88</v>
      </c>
      <c r="I84">
        <v>0</v>
      </c>
      <c r="Z84" t="str">
        <f>_xlfn.TEXTJOIN(",",TRUE,Table1[[#This Row],[Col5]],Table1[[#This Row],[Col4]],Table1[[#This Row],[Col3]],Table1[[#This Row],[Col2]],Table1[[#This Row],[Col1]])</f>
        <v/>
      </c>
      <c r="AP84" t="s">
        <v>84</v>
      </c>
      <c r="AS84" t="s">
        <v>143</v>
      </c>
      <c r="AW84" t="s">
        <v>142</v>
      </c>
      <c r="AY84" t="s">
        <v>125</v>
      </c>
      <c r="AZ84" t="s">
        <v>125</v>
      </c>
      <c r="BA84" t="s">
        <v>66</v>
      </c>
      <c r="BB84" t="s">
        <v>80</v>
      </c>
      <c r="BC84" t="s">
        <v>81</v>
      </c>
      <c r="BD84" t="s">
        <v>81</v>
      </c>
      <c r="BE84" t="s">
        <v>81</v>
      </c>
      <c r="BF84" t="s">
        <v>81</v>
      </c>
      <c r="BG84" t="s">
        <v>81</v>
      </c>
      <c r="BH84" t="s">
        <v>81</v>
      </c>
    </row>
    <row r="85" spans="1:60" x14ac:dyDescent="0.35">
      <c r="A85">
        <v>45</v>
      </c>
      <c r="B85" t="str" cm="1">
        <f t="array" ref="B85">_xlfn.IFS(A85&lt;=25,"18-25",A85&lt;=33,"26-33",A85&lt;=41,"34-41",A85&lt;=49,"42-49",A85&gt;49,"50 or above")</f>
        <v>42-49</v>
      </c>
      <c r="C85" t="s">
        <v>89</v>
      </c>
      <c r="D85" t="s">
        <v>63</v>
      </c>
      <c r="E85" t="s">
        <v>121</v>
      </c>
      <c r="F85" t="s">
        <v>65</v>
      </c>
      <c r="G85" t="s">
        <v>66</v>
      </c>
      <c r="H85" t="s">
        <v>88</v>
      </c>
      <c r="I85">
        <v>0</v>
      </c>
      <c r="Z85" t="str">
        <f>_xlfn.TEXTJOIN(",",TRUE,Table1[[#This Row],[Col5]],Table1[[#This Row],[Col4]],Table1[[#This Row],[Col3]],Table1[[#This Row],[Col2]],Table1[[#This Row],[Col1]])</f>
        <v/>
      </c>
      <c r="AR85" t="s">
        <v>118</v>
      </c>
      <c r="AU85" t="s">
        <v>138</v>
      </c>
      <c r="AY85" t="s">
        <v>88</v>
      </c>
      <c r="AZ85" t="s">
        <v>88</v>
      </c>
      <c r="BA85" t="s">
        <v>88</v>
      </c>
      <c r="BB85" t="s">
        <v>81</v>
      </c>
      <c r="BC85" t="s">
        <v>79</v>
      </c>
      <c r="BD85" t="s">
        <v>81</v>
      </c>
      <c r="BE85" t="s">
        <v>79</v>
      </c>
      <c r="BF85" t="s">
        <v>81</v>
      </c>
      <c r="BG85" t="s">
        <v>79</v>
      </c>
      <c r="BH85" t="s">
        <v>81</v>
      </c>
    </row>
    <row r="86" spans="1:60" x14ac:dyDescent="0.35">
      <c r="A86">
        <v>56</v>
      </c>
      <c r="B86" t="str" cm="1">
        <f t="array" ref="B86">_xlfn.IFS(A86&lt;=25,"18-25",A86&lt;=33,"26-33",A86&lt;=41,"34-41",A86&lt;=49,"42-49",A86&gt;49,"50 or above")</f>
        <v>50 or above</v>
      </c>
      <c r="C86" t="s">
        <v>62</v>
      </c>
      <c r="D86" t="s">
        <v>63</v>
      </c>
      <c r="E86" t="s">
        <v>136</v>
      </c>
      <c r="F86" t="s">
        <v>65</v>
      </c>
      <c r="G86" t="s">
        <v>88</v>
      </c>
      <c r="H86" t="s">
        <v>88</v>
      </c>
      <c r="I86">
        <v>0</v>
      </c>
      <c r="Z86" t="str">
        <f>_xlfn.TEXTJOIN(",",TRUE,Table1[[#This Row],[Col5]],Table1[[#This Row],[Col4]],Table1[[#This Row],[Col3]],Table1[[#This Row],[Col2]],Table1[[#This Row],[Col1]])</f>
        <v/>
      </c>
      <c r="AP86" t="s">
        <v>84</v>
      </c>
      <c r="AT86" t="s">
        <v>144</v>
      </c>
      <c r="AW86" t="s">
        <v>142</v>
      </c>
      <c r="AY86" t="s">
        <v>88</v>
      </c>
      <c r="AZ86" t="s">
        <v>88</v>
      </c>
      <c r="BA86" t="s">
        <v>88</v>
      </c>
      <c r="BB86" t="s">
        <v>79</v>
      </c>
      <c r="BC86" t="s">
        <v>79</v>
      </c>
      <c r="BD86" t="s">
        <v>79</v>
      </c>
      <c r="BE86" t="s">
        <v>79</v>
      </c>
      <c r="BF86" t="s">
        <v>79</v>
      </c>
      <c r="BG86" t="s">
        <v>79</v>
      </c>
      <c r="BH86" t="s">
        <v>79</v>
      </c>
    </row>
    <row r="87" spans="1:60" x14ac:dyDescent="0.35">
      <c r="A87">
        <v>70</v>
      </c>
      <c r="B87" t="str" cm="1">
        <f t="array" ref="B87">_xlfn.IFS(A87&lt;=25,"18-25",A87&lt;=33,"26-33",A87&lt;=41,"34-41",A87&lt;=49,"42-49",A87&gt;49,"50 or above")</f>
        <v>50 or above</v>
      </c>
      <c r="C87" t="s">
        <v>62</v>
      </c>
      <c r="D87" t="s">
        <v>105</v>
      </c>
      <c r="E87" t="s">
        <v>136</v>
      </c>
      <c r="F87" t="s">
        <v>65</v>
      </c>
      <c r="G87" t="s">
        <v>66</v>
      </c>
      <c r="H87" t="s">
        <v>88</v>
      </c>
      <c r="I87">
        <v>0</v>
      </c>
      <c r="Z87" t="str">
        <f>_xlfn.TEXTJOIN(",",TRUE,Table1[[#This Row],[Col5]],Table1[[#This Row],[Col4]],Table1[[#This Row],[Col3]],Table1[[#This Row],[Col2]],Table1[[#This Row],[Col1]])</f>
        <v/>
      </c>
      <c r="AO87" t="s">
        <v>141</v>
      </c>
      <c r="AP87" t="s">
        <v>84</v>
      </c>
      <c r="AR87" t="s">
        <v>118</v>
      </c>
      <c r="AS87" t="s">
        <v>124</v>
      </c>
      <c r="AT87" t="s">
        <v>137</v>
      </c>
      <c r="AU87" t="s">
        <v>138</v>
      </c>
      <c r="AW87" t="s">
        <v>142</v>
      </c>
      <c r="AY87" t="s">
        <v>66</v>
      </c>
      <c r="AZ87" t="s">
        <v>66</v>
      </c>
      <c r="BA87" t="s">
        <v>66</v>
      </c>
      <c r="BB87" t="s">
        <v>79</v>
      </c>
      <c r="BC87" t="s">
        <v>81</v>
      </c>
      <c r="BD87" t="s">
        <v>81</v>
      </c>
      <c r="BE87" t="s">
        <v>81</v>
      </c>
      <c r="BF87" t="s">
        <v>79</v>
      </c>
      <c r="BG87" t="s">
        <v>81</v>
      </c>
      <c r="BH87" t="s">
        <v>81</v>
      </c>
    </row>
    <row r="88" spans="1:60" x14ac:dyDescent="0.35">
      <c r="A88">
        <v>56</v>
      </c>
      <c r="B88" t="str" cm="1">
        <f t="array" ref="B88">_xlfn.IFS(A88&lt;=25,"18-25",A88&lt;=33,"26-33",A88&lt;=41,"34-41",A88&lt;=49,"42-49",A88&gt;49,"50 or above")</f>
        <v>50 or above</v>
      </c>
      <c r="C88" t="s">
        <v>62</v>
      </c>
      <c r="D88" t="s">
        <v>105</v>
      </c>
      <c r="E88" t="s">
        <v>121</v>
      </c>
      <c r="F88" t="s">
        <v>65</v>
      </c>
      <c r="G88" t="s">
        <v>66</v>
      </c>
      <c r="H88" t="s">
        <v>88</v>
      </c>
      <c r="I88">
        <v>0</v>
      </c>
      <c r="Z88" t="str">
        <f>_xlfn.TEXTJOIN(",",TRUE,Table1[[#This Row],[Col5]],Table1[[#This Row],[Col4]],Table1[[#This Row],[Col3]],Table1[[#This Row],[Col2]],Table1[[#This Row],[Col1]])</f>
        <v/>
      </c>
      <c r="AY88" t="s">
        <v>88</v>
      </c>
      <c r="AZ88" t="s">
        <v>88</v>
      </c>
      <c r="BA88" t="s">
        <v>88</v>
      </c>
      <c r="BB88" t="s">
        <v>79</v>
      </c>
      <c r="BC88" t="s">
        <v>79</v>
      </c>
      <c r="BD88" t="s">
        <v>81</v>
      </c>
      <c r="BE88" t="s">
        <v>79</v>
      </c>
      <c r="BF88" t="s">
        <v>81</v>
      </c>
      <c r="BG88" t="s">
        <v>79</v>
      </c>
      <c r="BH88" t="s">
        <v>81</v>
      </c>
    </row>
    <row r="89" spans="1:60" x14ac:dyDescent="0.35">
      <c r="A89">
        <v>50</v>
      </c>
      <c r="B89" t="str" cm="1">
        <f t="array" ref="B89">_xlfn.IFS(A89&lt;=25,"18-25",A89&lt;=33,"26-33",A89&lt;=41,"34-41",A89&lt;=49,"42-49",A89&gt;49,"50 or above")</f>
        <v>50 or above</v>
      </c>
      <c r="C89" t="s">
        <v>129</v>
      </c>
      <c r="D89" t="s">
        <v>116</v>
      </c>
      <c r="E89" t="s">
        <v>86</v>
      </c>
      <c r="F89" t="s">
        <v>65</v>
      </c>
      <c r="G89" t="s">
        <v>66</v>
      </c>
      <c r="H89" t="s">
        <v>66</v>
      </c>
      <c r="I89">
        <v>1</v>
      </c>
      <c r="J89" t="s">
        <v>67</v>
      </c>
      <c r="L89" t="s">
        <v>69</v>
      </c>
      <c r="P89" t="s">
        <v>67</v>
      </c>
      <c r="Q89" t="s">
        <v>70</v>
      </c>
      <c r="R89" t="s">
        <v>92</v>
      </c>
      <c r="S89" t="s">
        <v>95</v>
      </c>
      <c r="T89" t="s">
        <v>73</v>
      </c>
      <c r="U89" t="s">
        <v>74</v>
      </c>
      <c r="V89" t="s">
        <v>75</v>
      </c>
      <c r="W89" t="s">
        <v>76</v>
      </c>
      <c r="Z89" t="str">
        <f>_xlfn.TEXTJOIN(",",TRUE,Table1[[#This Row],[Col5]],Table1[[#This Row],[Col4]],Table1[[#This Row],[Col3]],Table1[[#This Row],[Col2]],Table1[[#This Row],[Col1]])</f>
        <v xml:space="preserve"> Daily Essentials, Snacks and Beverages,Groceries</v>
      </c>
      <c r="AA89" t="s">
        <v>78</v>
      </c>
      <c r="AB89" t="s">
        <v>80</v>
      </c>
      <c r="AC89" t="s">
        <v>81</v>
      </c>
      <c r="AD89" t="s">
        <v>80</v>
      </c>
      <c r="AE89" t="s">
        <v>81</v>
      </c>
      <c r="AF89" t="s">
        <v>78</v>
      </c>
      <c r="AG89" t="s">
        <v>78</v>
      </c>
      <c r="AH89" t="s">
        <v>80</v>
      </c>
      <c r="AI89" t="s">
        <v>78</v>
      </c>
      <c r="AJ89" t="s">
        <v>78</v>
      </c>
      <c r="AK89">
        <v>4</v>
      </c>
      <c r="AL89">
        <v>5</v>
      </c>
      <c r="AM89">
        <v>5</v>
      </c>
      <c r="AN89" t="s">
        <v>82</v>
      </c>
    </row>
    <row r="90" spans="1:60" x14ac:dyDescent="0.35">
      <c r="A90">
        <v>35</v>
      </c>
      <c r="B90" t="str" cm="1">
        <f t="array" ref="B90">_xlfn.IFS(A90&lt;=25,"18-25",A90&lt;=33,"26-33",A90&lt;=41,"34-41",A90&lt;=49,"42-49",A90&gt;49,"50 or above")</f>
        <v>34-41</v>
      </c>
      <c r="C90" t="s">
        <v>62</v>
      </c>
      <c r="D90" t="s">
        <v>105</v>
      </c>
      <c r="E90" t="s">
        <v>109</v>
      </c>
      <c r="F90" t="s">
        <v>102</v>
      </c>
      <c r="G90" t="s">
        <v>66</v>
      </c>
      <c r="H90" t="s">
        <v>66</v>
      </c>
      <c r="I90">
        <v>1</v>
      </c>
      <c r="J90" t="s">
        <v>67</v>
      </c>
      <c r="L90" t="s">
        <v>69</v>
      </c>
      <c r="P90" t="s">
        <v>91</v>
      </c>
      <c r="Q90" t="s">
        <v>103</v>
      </c>
      <c r="R90" t="s">
        <v>110</v>
      </c>
      <c r="S90" t="s">
        <v>72</v>
      </c>
      <c r="T90" t="s">
        <v>99</v>
      </c>
      <c r="U90" t="s">
        <v>74</v>
      </c>
      <c r="V90" t="s">
        <v>75</v>
      </c>
      <c r="Z90" t="str">
        <f>_xlfn.TEXTJOIN(",",TRUE,Table1[[#This Row],[Col5]],Table1[[#This Row],[Col4]],Table1[[#This Row],[Col3]],Table1[[#This Row],[Col2]],Table1[[#This Row],[Col1]])</f>
        <v xml:space="preserve"> Snacks and Beverages,Groceries</v>
      </c>
      <c r="AA90" t="s">
        <v>80</v>
      </c>
      <c r="AB90" t="s">
        <v>78</v>
      </c>
      <c r="AC90" t="s">
        <v>80</v>
      </c>
      <c r="AD90" t="s">
        <v>81</v>
      </c>
      <c r="AE90" t="s">
        <v>79</v>
      </c>
      <c r="AF90" t="s">
        <v>80</v>
      </c>
      <c r="AG90" t="s">
        <v>78</v>
      </c>
      <c r="AH90" t="s">
        <v>80</v>
      </c>
      <c r="AI90" t="s">
        <v>80</v>
      </c>
      <c r="AJ90" t="s">
        <v>80</v>
      </c>
      <c r="AK90">
        <v>4</v>
      </c>
      <c r="AL90">
        <v>4</v>
      </c>
      <c r="AM90">
        <v>5</v>
      </c>
      <c r="AN90" t="s">
        <v>115</v>
      </c>
      <c r="AP90" t="s">
        <v>84</v>
      </c>
      <c r="AQ90" t="s">
        <v>85</v>
      </c>
      <c r="AR90" t="s">
        <v>118</v>
      </c>
      <c r="AT90" t="s">
        <v>137</v>
      </c>
    </row>
    <row r="91" spans="1:60" x14ac:dyDescent="0.35">
      <c r="A91">
        <v>43</v>
      </c>
      <c r="B91" t="str" cm="1">
        <f t="array" ref="B91">_xlfn.IFS(A91&lt;=25,"18-25",A91&lt;=33,"26-33",A91&lt;=41,"34-41",A91&lt;=49,"42-49",A91&gt;49,"50 or above")</f>
        <v>42-49</v>
      </c>
      <c r="C91" t="s">
        <v>89</v>
      </c>
      <c r="D91" t="s">
        <v>120</v>
      </c>
      <c r="E91" t="s">
        <v>109</v>
      </c>
      <c r="F91" t="s">
        <v>102</v>
      </c>
      <c r="G91" t="s">
        <v>88</v>
      </c>
      <c r="H91" t="s">
        <v>88</v>
      </c>
      <c r="I91">
        <v>0</v>
      </c>
      <c r="Z91" t="str">
        <f>_xlfn.TEXTJOIN(",",TRUE,Table1[[#This Row],[Col5]],Table1[[#This Row],[Col4]],Table1[[#This Row],[Col3]],Table1[[#This Row],[Col2]],Table1[[#This Row],[Col1]])</f>
        <v/>
      </c>
      <c r="AP91" t="s">
        <v>84</v>
      </c>
      <c r="AR91" t="s">
        <v>118</v>
      </c>
      <c r="AS91" t="s">
        <v>124</v>
      </c>
      <c r="AY91" t="s">
        <v>88</v>
      </c>
      <c r="AZ91" t="s">
        <v>88</v>
      </c>
      <c r="BA91" t="s">
        <v>66</v>
      </c>
      <c r="BB91" t="s">
        <v>80</v>
      </c>
      <c r="BC91" t="s">
        <v>80</v>
      </c>
      <c r="BD91" t="s">
        <v>78</v>
      </c>
      <c r="BE91" t="s">
        <v>81</v>
      </c>
      <c r="BF91" t="s">
        <v>79</v>
      </c>
      <c r="BG91" t="s">
        <v>80</v>
      </c>
      <c r="BH91" t="s">
        <v>81</v>
      </c>
    </row>
    <row r="92" spans="1:60" x14ac:dyDescent="0.35">
      <c r="A92">
        <v>54</v>
      </c>
      <c r="B92" t="str" cm="1">
        <f t="array" ref="B92">_xlfn.IFS(A92&lt;=25,"18-25",A92&lt;=33,"26-33",A92&lt;=41,"34-41",A92&lt;=49,"42-49",A92&gt;49,"50 or above")</f>
        <v>50 or above</v>
      </c>
      <c r="C92" t="s">
        <v>89</v>
      </c>
      <c r="D92" t="s">
        <v>119</v>
      </c>
      <c r="E92" t="s">
        <v>121</v>
      </c>
      <c r="F92" t="s">
        <v>87</v>
      </c>
      <c r="G92" t="s">
        <v>88</v>
      </c>
      <c r="H92" t="s">
        <v>88</v>
      </c>
      <c r="I92">
        <v>0</v>
      </c>
      <c r="Z92" t="str">
        <f>_xlfn.TEXTJOIN(",",TRUE,Table1[[#This Row],[Col5]],Table1[[#This Row],[Col4]],Table1[[#This Row],[Col3]],Table1[[#This Row],[Col2]],Table1[[#This Row],[Col1]])</f>
        <v/>
      </c>
      <c r="AO92" t="s">
        <v>83</v>
      </c>
      <c r="AS92" t="s">
        <v>124</v>
      </c>
      <c r="AT92" t="s">
        <v>137</v>
      </c>
      <c r="AU92" t="s">
        <v>145</v>
      </c>
      <c r="AY92" t="s">
        <v>125</v>
      </c>
      <c r="AZ92" t="s">
        <v>88</v>
      </c>
      <c r="BA92" t="s">
        <v>66</v>
      </c>
      <c r="BB92" t="s">
        <v>80</v>
      </c>
      <c r="BC92" t="s">
        <v>78</v>
      </c>
      <c r="BD92" t="s">
        <v>80</v>
      </c>
      <c r="BE92" t="s">
        <v>80</v>
      </c>
      <c r="BF92" t="s">
        <v>80</v>
      </c>
      <c r="BG92" t="s">
        <v>78</v>
      </c>
      <c r="BH92" t="s">
        <v>78</v>
      </c>
    </row>
    <row r="93" spans="1:60" x14ac:dyDescent="0.35">
      <c r="A93">
        <v>53</v>
      </c>
      <c r="B93" t="str" cm="1">
        <f t="array" ref="B93">_xlfn.IFS(A93&lt;=25,"18-25",A93&lt;=33,"26-33",A93&lt;=41,"34-41",A93&lt;=49,"42-49",A93&gt;49,"50 or above")</f>
        <v>50 or above</v>
      </c>
      <c r="C93" t="s">
        <v>62</v>
      </c>
      <c r="D93" t="s">
        <v>105</v>
      </c>
      <c r="E93" t="s">
        <v>86</v>
      </c>
      <c r="F93" t="s">
        <v>102</v>
      </c>
      <c r="G93" t="s">
        <v>66</v>
      </c>
      <c r="H93" t="s">
        <v>88</v>
      </c>
      <c r="I93">
        <v>0</v>
      </c>
      <c r="Z93" t="str">
        <f>_xlfn.TEXTJOIN(",",TRUE,Table1[[#This Row],[Col5]],Table1[[#This Row],[Col4]],Table1[[#This Row],[Col3]],Table1[[#This Row],[Col2]],Table1[[#This Row],[Col1]])</f>
        <v/>
      </c>
      <c r="AY93" t="s">
        <v>88</v>
      </c>
      <c r="AZ93" t="s">
        <v>125</v>
      </c>
      <c r="BA93" t="s">
        <v>66</v>
      </c>
      <c r="BB93" t="s">
        <v>81</v>
      </c>
      <c r="BC93" t="s">
        <v>80</v>
      </c>
      <c r="BD93" t="s">
        <v>81</v>
      </c>
      <c r="BE93" t="s">
        <v>80</v>
      </c>
      <c r="BF93" t="s">
        <v>78</v>
      </c>
      <c r="BG93" t="s">
        <v>81</v>
      </c>
      <c r="BH93" t="s">
        <v>78</v>
      </c>
    </row>
    <row r="94" spans="1:60" x14ac:dyDescent="0.35">
      <c r="A94">
        <v>55</v>
      </c>
      <c r="B94" t="str" cm="1">
        <f t="array" ref="B94">_xlfn.IFS(A94&lt;=25,"18-25",A94&lt;=33,"26-33",A94&lt;=41,"34-41",A94&lt;=49,"42-49",A94&gt;49,"50 or above")</f>
        <v>50 or above</v>
      </c>
      <c r="C94" t="s">
        <v>62</v>
      </c>
      <c r="D94" t="s">
        <v>119</v>
      </c>
      <c r="E94" t="s">
        <v>109</v>
      </c>
      <c r="F94" t="s">
        <v>102</v>
      </c>
      <c r="G94" t="s">
        <v>66</v>
      </c>
      <c r="H94" t="s">
        <v>88</v>
      </c>
      <c r="I94">
        <v>0</v>
      </c>
      <c r="Z94" t="str">
        <f>_xlfn.TEXTJOIN(",",TRUE,Table1[[#This Row],[Col5]],Table1[[#This Row],[Col4]],Table1[[#This Row],[Col3]],Table1[[#This Row],[Col2]],Table1[[#This Row],[Col1]])</f>
        <v/>
      </c>
      <c r="AY94" t="s">
        <v>66</v>
      </c>
      <c r="AZ94" t="s">
        <v>66</v>
      </c>
      <c r="BA94" t="s">
        <v>66</v>
      </c>
      <c r="BB94" t="s">
        <v>78</v>
      </c>
      <c r="BC94" t="s">
        <v>80</v>
      </c>
      <c r="BD94" t="s">
        <v>78</v>
      </c>
      <c r="BE94" t="s">
        <v>80</v>
      </c>
      <c r="BF94" t="s">
        <v>78</v>
      </c>
      <c r="BG94" t="s">
        <v>80</v>
      </c>
      <c r="BH94" t="s">
        <v>78</v>
      </c>
    </row>
    <row r="95" spans="1:60" x14ac:dyDescent="0.35">
      <c r="A95">
        <v>44</v>
      </c>
      <c r="B95" t="str" cm="1">
        <f t="array" ref="B95">_xlfn.IFS(A95&lt;=25,"18-25",A95&lt;=33,"26-33",A95&lt;=41,"34-41",A95&lt;=49,"42-49",A95&gt;49,"50 or above")</f>
        <v>42-49</v>
      </c>
      <c r="C95" t="s">
        <v>62</v>
      </c>
      <c r="D95" t="s">
        <v>116</v>
      </c>
      <c r="E95" t="s">
        <v>86</v>
      </c>
      <c r="F95" t="s">
        <v>65</v>
      </c>
      <c r="G95" t="s">
        <v>66</v>
      </c>
      <c r="H95" t="s">
        <v>66</v>
      </c>
      <c r="I95">
        <v>1</v>
      </c>
      <c r="K95" t="s">
        <v>93</v>
      </c>
      <c r="L95" t="s">
        <v>69</v>
      </c>
      <c r="P95" t="s">
        <v>91</v>
      </c>
      <c r="Q95" t="s">
        <v>70</v>
      </c>
      <c r="R95" t="s">
        <v>110</v>
      </c>
      <c r="S95" t="s">
        <v>72</v>
      </c>
      <c r="T95" t="s">
        <v>73</v>
      </c>
      <c r="V95" t="s">
        <v>96</v>
      </c>
      <c r="W95" t="s">
        <v>76</v>
      </c>
      <c r="Y95" t="s">
        <v>108</v>
      </c>
      <c r="Z95" t="str">
        <f>_xlfn.TEXTJOIN(",",TRUE,Table1[[#This Row],[Col5]],Table1[[#This Row],[Col4]],Table1[[#This Row],[Col3]],Table1[[#This Row],[Col2]],Table1[[#This Row],[Col1]])</f>
        <v xml:space="preserve"> Medicines, Daily Essentials,Snacks and Beverages</v>
      </c>
      <c r="AA95" t="s">
        <v>78</v>
      </c>
      <c r="AB95" t="s">
        <v>80</v>
      </c>
      <c r="AC95" t="s">
        <v>78</v>
      </c>
      <c r="AD95" t="s">
        <v>80</v>
      </c>
      <c r="AE95" t="s">
        <v>78</v>
      </c>
      <c r="AF95" t="s">
        <v>78</v>
      </c>
      <c r="AG95" t="s">
        <v>80</v>
      </c>
      <c r="AH95" t="s">
        <v>80</v>
      </c>
      <c r="AI95" t="s">
        <v>78</v>
      </c>
      <c r="AJ95" t="s">
        <v>80</v>
      </c>
      <c r="AK95">
        <v>4</v>
      </c>
      <c r="AL95">
        <v>4</v>
      </c>
      <c r="AM95">
        <v>5</v>
      </c>
      <c r="AN95" t="s">
        <v>146</v>
      </c>
    </row>
    <row r="96" spans="1:60" x14ac:dyDescent="0.35">
      <c r="A96">
        <v>48</v>
      </c>
      <c r="B96" t="str" cm="1">
        <f t="array" ref="B96">_xlfn.IFS(A96&lt;=25,"18-25",A96&lt;=33,"26-33",A96&lt;=41,"34-41",A96&lt;=49,"42-49",A96&gt;49,"50 or above")</f>
        <v>42-49</v>
      </c>
      <c r="C96" t="s">
        <v>89</v>
      </c>
      <c r="D96" t="s">
        <v>63</v>
      </c>
      <c r="E96" t="s">
        <v>121</v>
      </c>
      <c r="F96" t="s">
        <v>65</v>
      </c>
      <c r="G96" t="s">
        <v>66</v>
      </c>
      <c r="H96" t="s">
        <v>66</v>
      </c>
      <c r="I96">
        <v>1</v>
      </c>
      <c r="K96" t="s">
        <v>93</v>
      </c>
      <c r="P96" t="s">
        <v>93</v>
      </c>
      <c r="Q96" t="s">
        <v>103</v>
      </c>
      <c r="R96" t="s">
        <v>94</v>
      </c>
      <c r="S96" t="s">
        <v>113</v>
      </c>
      <c r="T96" t="s">
        <v>99</v>
      </c>
      <c r="U96" t="s">
        <v>74</v>
      </c>
      <c r="V96" t="s">
        <v>75</v>
      </c>
      <c r="Z96" t="str">
        <f>_xlfn.TEXTJOIN(",",TRUE,Table1[[#This Row],[Col5]],Table1[[#This Row],[Col4]],Table1[[#This Row],[Col3]],Table1[[#This Row],[Col2]],Table1[[#This Row],[Col1]])</f>
        <v xml:space="preserve"> Snacks and Beverages,Groceries</v>
      </c>
      <c r="AA96" t="s">
        <v>80</v>
      </c>
      <c r="AB96" t="s">
        <v>80</v>
      </c>
      <c r="AC96" t="s">
        <v>78</v>
      </c>
      <c r="AD96" t="s">
        <v>78</v>
      </c>
      <c r="AE96" t="s">
        <v>78</v>
      </c>
      <c r="AF96" t="s">
        <v>81</v>
      </c>
      <c r="AG96" t="s">
        <v>80</v>
      </c>
      <c r="AH96" t="s">
        <v>81</v>
      </c>
      <c r="AI96" t="s">
        <v>79</v>
      </c>
      <c r="AJ96" t="s">
        <v>101</v>
      </c>
      <c r="AK96">
        <v>4</v>
      </c>
      <c r="AL96">
        <v>5</v>
      </c>
      <c r="AM96">
        <v>3</v>
      </c>
      <c r="AN96" t="s">
        <v>133</v>
      </c>
      <c r="AQ96" t="s">
        <v>85</v>
      </c>
      <c r="AR96" t="s">
        <v>118</v>
      </c>
      <c r="AT96" t="s">
        <v>137</v>
      </c>
    </row>
    <row r="97" spans="1:60" x14ac:dyDescent="0.35">
      <c r="A97">
        <v>57</v>
      </c>
      <c r="B97" t="str" cm="1">
        <f t="array" ref="B97">_xlfn.IFS(A97&lt;=25,"18-25",A97&lt;=33,"26-33",A97&lt;=41,"34-41",A97&lt;=49,"42-49",A97&gt;49,"50 or above")</f>
        <v>50 or above</v>
      </c>
      <c r="C97" t="s">
        <v>129</v>
      </c>
      <c r="D97" t="s">
        <v>120</v>
      </c>
      <c r="E97" t="s">
        <v>109</v>
      </c>
      <c r="F97" t="s">
        <v>87</v>
      </c>
      <c r="G97" t="s">
        <v>88</v>
      </c>
      <c r="H97" t="s">
        <v>88</v>
      </c>
      <c r="I97">
        <v>0</v>
      </c>
      <c r="Z97" t="str">
        <f>_xlfn.TEXTJOIN(",",TRUE,Table1[[#This Row],[Col5]],Table1[[#This Row],[Col4]],Table1[[#This Row],[Col3]],Table1[[#This Row],[Col2]],Table1[[#This Row],[Col1]])</f>
        <v/>
      </c>
      <c r="AO97" t="s">
        <v>141</v>
      </c>
      <c r="AR97" t="s">
        <v>118</v>
      </c>
      <c r="AT97" t="s">
        <v>137</v>
      </c>
      <c r="AW97" t="s">
        <v>142</v>
      </c>
      <c r="AY97" t="s">
        <v>88</v>
      </c>
      <c r="AZ97" t="s">
        <v>88</v>
      </c>
      <c r="BA97" t="s">
        <v>88</v>
      </c>
      <c r="BB97" t="s">
        <v>101</v>
      </c>
      <c r="BC97" t="s">
        <v>79</v>
      </c>
      <c r="BD97" t="s">
        <v>79</v>
      </c>
      <c r="BE97" t="s">
        <v>79</v>
      </c>
      <c r="BF97" t="s">
        <v>101</v>
      </c>
      <c r="BG97" t="s">
        <v>101</v>
      </c>
      <c r="BH97" t="s">
        <v>79</v>
      </c>
    </row>
    <row r="98" spans="1:60" x14ac:dyDescent="0.35">
      <c r="A98">
        <v>60</v>
      </c>
      <c r="B98" t="str" cm="1">
        <f t="array" ref="B98">_xlfn.IFS(A98&lt;=25,"18-25",A98&lt;=33,"26-33",A98&lt;=41,"34-41",A98&lt;=49,"42-49",A98&gt;49,"50 or above")</f>
        <v>50 or above</v>
      </c>
      <c r="C98" t="s">
        <v>62</v>
      </c>
      <c r="D98" t="s">
        <v>120</v>
      </c>
      <c r="E98" t="s">
        <v>109</v>
      </c>
      <c r="F98" t="s">
        <v>65</v>
      </c>
      <c r="G98" t="s">
        <v>66</v>
      </c>
      <c r="H98" t="s">
        <v>88</v>
      </c>
      <c r="I98">
        <v>0</v>
      </c>
      <c r="Z98" t="str">
        <f>_xlfn.TEXTJOIN(",",TRUE,Table1[[#This Row],[Col5]],Table1[[#This Row],[Col4]],Table1[[#This Row],[Col3]],Table1[[#This Row],[Col2]],Table1[[#This Row],[Col1]])</f>
        <v/>
      </c>
      <c r="AY98" t="s">
        <v>125</v>
      </c>
      <c r="AZ98" t="s">
        <v>125</v>
      </c>
      <c r="BA98" t="s">
        <v>66</v>
      </c>
      <c r="BB98" t="s">
        <v>80</v>
      </c>
      <c r="BC98" t="s">
        <v>80</v>
      </c>
      <c r="BD98" t="s">
        <v>79</v>
      </c>
      <c r="BE98" t="s">
        <v>81</v>
      </c>
      <c r="BF98" t="s">
        <v>79</v>
      </c>
      <c r="BG98" t="s">
        <v>79</v>
      </c>
      <c r="BH98" t="s">
        <v>80</v>
      </c>
    </row>
    <row r="99" spans="1:60" x14ac:dyDescent="0.35">
      <c r="A99">
        <v>43</v>
      </c>
      <c r="B99" t="str" cm="1">
        <f t="array" ref="B99">_xlfn.IFS(A99&lt;=25,"18-25",A99&lt;=33,"26-33",A99&lt;=41,"34-41",A99&lt;=49,"42-49",A99&gt;49,"50 or above")</f>
        <v>42-49</v>
      </c>
      <c r="C99" t="s">
        <v>89</v>
      </c>
      <c r="D99" t="s">
        <v>119</v>
      </c>
      <c r="E99" t="s">
        <v>121</v>
      </c>
      <c r="F99" t="s">
        <v>102</v>
      </c>
      <c r="G99" t="s">
        <v>66</v>
      </c>
      <c r="H99" t="s">
        <v>66</v>
      </c>
      <c r="I99">
        <v>1</v>
      </c>
      <c r="M99" t="s">
        <v>111</v>
      </c>
      <c r="P99" t="s">
        <v>111</v>
      </c>
      <c r="Q99" t="s">
        <v>117</v>
      </c>
      <c r="R99" t="s">
        <v>92</v>
      </c>
      <c r="S99" t="s">
        <v>113</v>
      </c>
      <c r="T99" t="s">
        <v>99</v>
      </c>
      <c r="U99" t="s">
        <v>74</v>
      </c>
      <c r="Z99" t="str">
        <f>_xlfn.TEXTJOIN(",",TRUE,Table1[[#This Row],[Col5]],Table1[[#This Row],[Col4]],Table1[[#This Row],[Col3]],Table1[[#This Row],[Col2]],Table1[[#This Row],[Col1]])</f>
        <v>Groceries</v>
      </c>
      <c r="AA99" t="s">
        <v>78</v>
      </c>
      <c r="AB99" t="s">
        <v>80</v>
      </c>
      <c r="AC99" t="s">
        <v>81</v>
      </c>
      <c r="AD99" t="s">
        <v>80</v>
      </c>
      <c r="AE99" t="s">
        <v>78</v>
      </c>
      <c r="AF99" t="s">
        <v>80</v>
      </c>
      <c r="AG99" t="s">
        <v>81</v>
      </c>
      <c r="AH99" t="s">
        <v>80</v>
      </c>
      <c r="AI99" t="s">
        <v>78</v>
      </c>
      <c r="AJ99" t="s">
        <v>81</v>
      </c>
      <c r="AK99">
        <v>3</v>
      </c>
      <c r="AL99">
        <v>4</v>
      </c>
      <c r="AM99">
        <v>4</v>
      </c>
      <c r="AN99" t="s">
        <v>104</v>
      </c>
    </row>
    <row r="100" spans="1:60" x14ac:dyDescent="0.35">
      <c r="A100">
        <v>47</v>
      </c>
      <c r="B100" t="str" cm="1">
        <f t="array" ref="B100">_xlfn.IFS(A100&lt;=25,"18-25",A100&lt;=33,"26-33",A100&lt;=41,"34-41",A100&lt;=49,"42-49",A100&gt;49,"50 or above")</f>
        <v>42-49</v>
      </c>
      <c r="C100" t="s">
        <v>89</v>
      </c>
      <c r="D100" t="s">
        <v>116</v>
      </c>
      <c r="E100" t="s">
        <v>86</v>
      </c>
      <c r="F100" t="s">
        <v>102</v>
      </c>
      <c r="G100" t="s">
        <v>66</v>
      </c>
      <c r="H100" t="s">
        <v>66</v>
      </c>
      <c r="I100">
        <v>1</v>
      </c>
      <c r="J100" t="s">
        <v>67</v>
      </c>
      <c r="M100" t="s">
        <v>114</v>
      </c>
      <c r="P100" t="s">
        <v>67</v>
      </c>
      <c r="Q100" t="s">
        <v>70</v>
      </c>
      <c r="R100" t="s">
        <v>92</v>
      </c>
      <c r="S100" t="s">
        <v>72</v>
      </c>
      <c r="T100" t="s">
        <v>73</v>
      </c>
      <c r="U100" t="s">
        <v>74</v>
      </c>
      <c r="V100" t="s">
        <v>75</v>
      </c>
      <c r="W100" t="s">
        <v>76</v>
      </c>
      <c r="X100" t="s">
        <v>77</v>
      </c>
      <c r="Z100" t="str">
        <f>_xlfn.TEXTJOIN(",",TRUE,Table1[[#This Row],[Col5]],Table1[[#This Row],[Col4]],Table1[[#This Row],[Col3]],Table1[[#This Row],[Col2]],Table1[[#This Row],[Col1]])</f>
        <v xml:space="preserve"> Personal Care, Daily Essentials, Snacks and Beverages,Groceries</v>
      </c>
      <c r="AA100" t="s">
        <v>78</v>
      </c>
      <c r="AB100" t="s">
        <v>78</v>
      </c>
      <c r="AC100" t="s">
        <v>78</v>
      </c>
      <c r="AD100" t="s">
        <v>78</v>
      </c>
      <c r="AE100" t="s">
        <v>78</v>
      </c>
      <c r="AF100" t="s">
        <v>78</v>
      </c>
      <c r="AG100" t="s">
        <v>78</v>
      </c>
      <c r="AH100" t="s">
        <v>80</v>
      </c>
      <c r="AI100" t="s">
        <v>78</v>
      </c>
      <c r="AJ100" t="s">
        <v>78</v>
      </c>
      <c r="AK100">
        <v>5</v>
      </c>
      <c r="AL100">
        <v>5</v>
      </c>
      <c r="AM100">
        <v>5</v>
      </c>
      <c r="AN100" t="s">
        <v>133</v>
      </c>
    </row>
    <row r="101" spans="1:60" x14ac:dyDescent="0.35">
      <c r="A101">
        <v>41</v>
      </c>
      <c r="B101" t="str" cm="1">
        <f t="array" ref="B101">_xlfn.IFS(A101&lt;=25,"18-25",A101&lt;=33,"26-33",A101&lt;=41,"34-41",A101&lt;=49,"42-49",A101&gt;49,"50 or above")</f>
        <v>34-41</v>
      </c>
      <c r="C101" t="s">
        <v>129</v>
      </c>
      <c r="D101" t="s">
        <v>105</v>
      </c>
      <c r="E101" t="s">
        <v>86</v>
      </c>
      <c r="F101" t="s">
        <v>102</v>
      </c>
      <c r="G101" t="s">
        <v>66</v>
      </c>
      <c r="H101" t="s">
        <v>66</v>
      </c>
      <c r="I101">
        <v>1</v>
      </c>
      <c r="J101" t="s">
        <v>67</v>
      </c>
      <c r="L101" t="s">
        <v>69</v>
      </c>
      <c r="P101" t="s">
        <v>67</v>
      </c>
      <c r="Q101" t="s">
        <v>98</v>
      </c>
      <c r="R101" t="s">
        <v>71</v>
      </c>
      <c r="S101" t="s">
        <v>95</v>
      </c>
      <c r="T101" t="s">
        <v>112</v>
      </c>
      <c r="W101" t="s">
        <v>134</v>
      </c>
      <c r="X101" t="s">
        <v>77</v>
      </c>
      <c r="Z101" t="str">
        <f>_xlfn.TEXTJOIN(",",TRUE,Table1[[#This Row],[Col5]],Table1[[#This Row],[Col4]],Table1[[#This Row],[Col3]],Table1[[#This Row],[Col2]],Table1[[#This Row],[Col1]])</f>
        <v xml:space="preserve"> Personal Care,Daily Essentials</v>
      </c>
      <c r="AA101" t="s">
        <v>78</v>
      </c>
      <c r="AB101" t="s">
        <v>80</v>
      </c>
      <c r="AC101" t="s">
        <v>80</v>
      </c>
      <c r="AD101" t="s">
        <v>80</v>
      </c>
      <c r="AE101" t="s">
        <v>78</v>
      </c>
      <c r="AF101" t="s">
        <v>78</v>
      </c>
      <c r="AG101" t="s">
        <v>78</v>
      </c>
      <c r="AH101" t="s">
        <v>78</v>
      </c>
      <c r="AI101" t="s">
        <v>80</v>
      </c>
      <c r="AJ101" t="s">
        <v>80</v>
      </c>
      <c r="AK101">
        <v>4</v>
      </c>
      <c r="AL101">
        <v>5</v>
      </c>
      <c r="AM101">
        <v>5</v>
      </c>
      <c r="AN101" t="s">
        <v>128</v>
      </c>
    </row>
    <row r="102" spans="1:60" x14ac:dyDescent="0.35">
      <c r="A102">
        <v>32</v>
      </c>
      <c r="B102" t="str" cm="1">
        <f t="array" ref="B102">_xlfn.IFS(A102&lt;=25,"18-25",A102&lt;=33,"26-33",A102&lt;=41,"34-41",A102&lt;=49,"42-49",A102&gt;49,"50 or above")</f>
        <v>26-33</v>
      </c>
      <c r="C102" t="s">
        <v>89</v>
      </c>
      <c r="D102" t="s">
        <v>105</v>
      </c>
      <c r="E102" t="s">
        <v>109</v>
      </c>
      <c r="F102" t="s">
        <v>102</v>
      </c>
      <c r="G102" t="s">
        <v>66</v>
      </c>
      <c r="H102" t="s">
        <v>66</v>
      </c>
      <c r="I102">
        <v>1</v>
      </c>
      <c r="J102" t="s">
        <v>67</v>
      </c>
      <c r="K102" t="s">
        <v>68</v>
      </c>
      <c r="P102" t="s">
        <v>93</v>
      </c>
      <c r="Q102" t="s">
        <v>103</v>
      </c>
      <c r="R102" t="s">
        <v>92</v>
      </c>
      <c r="S102" t="s">
        <v>113</v>
      </c>
      <c r="T102" t="s">
        <v>99</v>
      </c>
      <c r="U102" t="s">
        <v>74</v>
      </c>
      <c r="W102" t="s">
        <v>76</v>
      </c>
      <c r="Y102" t="s">
        <v>108</v>
      </c>
      <c r="Z102" t="str">
        <f>_xlfn.TEXTJOIN(",",TRUE,Table1[[#This Row],[Col5]],Table1[[#This Row],[Col4]],Table1[[#This Row],[Col3]],Table1[[#This Row],[Col2]],Table1[[#This Row],[Col1]])</f>
        <v xml:space="preserve"> Medicines, Daily Essentials,Groceries</v>
      </c>
      <c r="AA102" t="s">
        <v>80</v>
      </c>
      <c r="AB102" t="s">
        <v>78</v>
      </c>
      <c r="AC102" t="s">
        <v>80</v>
      </c>
      <c r="AD102" t="s">
        <v>80</v>
      </c>
      <c r="AE102" t="s">
        <v>81</v>
      </c>
      <c r="AF102" t="s">
        <v>81</v>
      </c>
      <c r="AG102" t="s">
        <v>80</v>
      </c>
      <c r="AH102" t="s">
        <v>79</v>
      </c>
      <c r="AI102" t="s">
        <v>80</v>
      </c>
      <c r="AJ102" t="s">
        <v>80</v>
      </c>
      <c r="AK102">
        <v>4</v>
      </c>
      <c r="AL102">
        <v>5</v>
      </c>
      <c r="AM102">
        <v>3</v>
      </c>
      <c r="AN102" t="s">
        <v>82</v>
      </c>
      <c r="AR102" t="s">
        <v>118</v>
      </c>
      <c r="AW102" t="s">
        <v>142</v>
      </c>
    </row>
    <row r="103" spans="1:60" x14ac:dyDescent="0.35">
      <c r="A103">
        <v>54</v>
      </c>
      <c r="B103" t="str" cm="1">
        <f t="array" ref="B103">_xlfn.IFS(A103&lt;=25,"18-25",A103&lt;=33,"26-33",A103&lt;=41,"34-41",A103&lt;=49,"42-49",A103&gt;49,"50 or above")</f>
        <v>50 or above</v>
      </c>
      <c r="C103" t="s">
        <v>89</v>
      </c>
      <c r="D103" t="s">
        <v>119</v>
      </c>
      <c r="E103" t="s">
        <v>109</v>
      </c>
      <c r="F103" t="s">
        <v>87</v>
      </c>
      <c r="G103" t="s">
        <v>66</v>
      </c>
      <c r="H103" t="s">
        <v>88</v>
      </c>
      <c r="I103">
        <v>0</v>
      </c>
      <c r="Z103" t="str">
        <f>_xlfn.TEXTJOIN(",",TRUE,Table1[[#This Row],[Col5]],Table1[[#This Row],[Col4]],Table1[[#This Row],[Col3]],Table1[[#This Row],[Col2]],Table1[[#This Row],[Col1]])</f>
        <v/>
      </c>
      <c r="AP103" t="s">
        <v>84</v>
      </c>
      <c r="AR103" t="s">
        <v>118</v>
      </c>
      <c r="AT103" t="s">
        <v>137</v>
      </c>
      <c r="AY103" t="s">
        <v>88</v>
      </c>
      <c r="AZ103" t="s">
        <v>88</v>
      </c>
      <c r="BA103" t="s">
        <v>88</v>
      </c>
      <c r="BB103" t="s">
        <v>101</v>
      </c>
      <c r="BC103" t="s">
        <v>101</v>
      </c>
      <c r="BD103" t="s">
        <v>101</v>
      </c>
      <c r="BE103" t="s">
        <v>101</v>
      </c>
      <c r="BF103" t="s">
        <v>101</v>
      </c>
      <c r="BG103" t="s">
        <v>101</v>
      </c>
      <c r="BH103" t="s">
        <v>101</v>
      </c>
    </row>
    <row r="104" spans="1:60" x14ac:dyDescent="0.35">
      <c r="A104">
        <v>32</v>
      </c>
      <c r="B104" t="str" cm="1">
        <f t="array" ref="B104">_xlfn.IFS(A104&lt;=25,"18-25",A104&lt;=33,"26-33",A104&lt;=41,"34-41",A104&lt;=49,"42-49",A104&gt;49,"50 or above")</f>
        <v>26-33</v>
      </c>
      <c r="C104" t="s">
        <v>62</v>
      </c>
      <c r="D104" t="s">
        <v>105</v>
      </c>
      <c r="E104" t="s">
        <v>86</v>
      </c>
      <c r="F104" t="s">
        <v>87</v>
      </c>
      <c r="G104" t="s">
        <v>66</v>
      </c>
      <c r="H104" t="s">
        <v>88</v>
      </c>
      <c r="I104">
        <v>0</v>
      </c>
      <c r="Z104" t="str">
        <f>_xlfn.TEXTJOIN(",",TRUE,Table1[[#This Row],[Col5]],Table1[[#This Row],[Col4]],Table1[[#This Row],[Col3]],Table1[[#This Row],[Col2]],Table1[[#This Row],[Col1]])</f>
        <v/>
      </c>
      <c r="AR104" t="s">
        <v>118</v>
      </c>
      <c r="AU104" t="s">
        <v>138</v>
      </c>
      <c r="AY104" t="s">
        <v>125</v>
      </c>
      <c r="AZ104" t="s">
        <v>66</v>
      </c>
      <c r="BA104" t="s">
        <v>66</v>
      </c>
      <c r="BB104" t="s">
        <v>80</v>
      </c>
      <c r="BC104" t="s">
        <v>78</v>
      </c>
      <c r="BD104" t="s">
        <v>78</v>
      </c>
      <c r="BE104" t="s">
        <v>80</v>
      </c>
      <c r="BF104" t="s">
        <v>81</v>
      </c>
      <c r="BG104" t="s">
        <v>80</v>
      </c>
      <c r="BH104" t="s">
        <v>80</v>
      </c>
    </row>
    <row r="105" spans="1:60" x14ac:dyDescent="0.35">
      <c r="A105">
        <v>55</v>
      </c>
      <c r="B105" t="str" cm="1">
        <f t="array" ref="B105">_xlfn.IFS(A105&lt;=25,"18-25",A105&lt;=33,"26-33",A105&lt;=41,"34-41",A105&lt;=49,"42-49",A105&gt;49,"50 or above")</f>
        <v>50 or above</v>
      </c>
      <c r="C105" t="s">
        <v>62</v>
      </c>
      <c r="D105" t="s">
        <v>63</v>
      </c>
      <c r="E105" t="s">
        <v>109</v>
      </c>
      <c r="F105" t="s">
        <v>102</v>
      </c>
      <c r="G105" t="s">
        <v>66</v>
      </c>
      <c r="H105" t="s">
        <v>88</v>
      </c>
      <c r="I105">
        <v>0</v>
      </c>
      <c r="Z105" t="str">
        <f>_xlfn.TEXTJOIN(",",TRUE,Table1[[#This Row],[Col5]],Table1[[#This Row],[Col4]],Table1[[#This Row],[Col3]],Table1[[#This Row],[Col2]],Table1[[#This Row],[Col1]])</f>
        <v/>
      </c>
      <c r="AQ105" t="s">
        <v>85</v>
      </c>
      <c r="AS105" t="s">
        <v>143</v>
      </c>
      <c r="AY105" t="s">
        <v>88</v>
      </c>
      <c r="AZ105" t="s">
        <v>88</v>
      </c>
      <c r="BA105" t="s">
        <v>66</v>
      </c>
      <c r="BB105" t="s">
        <v>81</v>
      </c>
      <c r="BC105" t="s">
        <v>81</v>
      </c>
      <c r="BD105" t="s">
        <v>81</v>
      </c>
      <c r="BE105" t="s">
        <v>81</v>
      </c>
      <c r="BF105" t="s">
        <v>81</v>
      </c>
      <c r="BG105" t="s">
        <v>81</v>
      </c>
      <c r="BH105" t="s">
        <v>81</v>
      </c>
    </row>
    <row r="106" spans="1:60" x14ac:dyDescent="0.35">
      <c r="A106">
        <v>43</v>
      </c>
      <c r="B106" t="str" cm="1">
        <f t="array" ref="B106">_xlfn.IFS(A106&lt;=25,"18-25",A106&lt;=33,"26-33",A106&lt;=41,"34-41",A106&lt;=49,"42-49",A106&gt;49,"50 or above")</f>
        <v>42-49</v>
      </c>
      <c r="C106" t="s">
        <v>62</v>
      </c>
      <c r="D106" t="s">
        <v>116</v>
      </c>
      <c r="E106" t="s">
        <v>86</v>
      </c>
      <c r="F106" t="s">
        <v>102</v>
      </c>
      <c r="G106" t="s">
        <v>66</v>
      </c>
      <c r="H106" t="s">
        <v>88</v>
      </c>
      <c r="I106">
        <v>0</v>
      </c>
      <c r="Z106" t="str">
        <f>_xlfn.TEXTJOIN(",",TRUE,Table1[[#This Row],[Col5]],Table1[[#This Row],[Col4]],Table1[[#This Row],[Col3]],Table1[[#This Row],[Col2]],Table1[[#This Row],[Col1]])</f>
        <v/>
      </c>
      <c r="AU106" t="s">
        <v>145</v>
      </c>
      <c r="AY106" t="s">
        <v>88</v>
      </c>
      <c r="AZ106" t="s">
        <v>125</v>
      </c>
      <c r="BA106" t="s">
        <v>66</v>
      </c>
      <c r="BB106" t="s">
        <v>80</v>
      </c>
      <c r="BC106" t="s">
        <v>80</v>
      </c>
      <c r="BD106" t="s">
        <v>78</v>
      </c>
      <c r="BE106" t="s">
        <v>80</v>
      </c>
      <c r="BF106" t="s">
        <v>81</v>
      </c>
      <c r="BG106" t="s">
        <v>80</v>
      </c>
      <c r="BH106" t="s">
        <v>78</v>
      </c>
    </row>
    <row r="107" spans="1:60" x14ac:dyDescent="0.35">
      <c r="A107">
        <v>63</v>
      </c>
      <c r="B107" t="str" cm="1">
        <f t="array" ref="B107">_xlfn.IFS(A107&lt;=25,"18-25",A107&lt;=33,"26-33",A107&lt;=41,"34-41",A107&lt;=49,"42-49",A107&gt;49,"50 or above")</f>
        <v>50 or above</v>
      </c>
      <c r="C107" t="s">
        <v>62</v>
      </c>
      <c r="D107" t="s">
        <v>116</v>
      </c>
      <c r="E107" t="s">
        <v>136</v>
      </c>
      <c r="F107" t="s">
        <v>65</v>
      </c>
      <c r="G107" t="s">
        <v>66</v>
      </c>
      <c r="H107" t="s">
        <v>88</v>
      </c>
      <c r="I107">
        <v>0</v>
      </c>
      <c r="Z107" t="str">
        <f>_xlfn.TEXTJOIN(",",TRUE,Table1[[#This Row],[Col5]],Table1[[#This Row],[Col4]],Table1[[#This Row],[Col3]],Table1[[#This Row],[Col2]],Table1[[#This Row],[Col1]])</f>
        <v/>
      </c>
      <c r="AP107" t="s">
        <v>126</v>
      </c>
      <c r="AY107" t="s">
        <v>125</v>
      </c>
      <c r="AZ107" t="s">
        <v>88</v>
      </c>
      <c r="BA107" t="s">
        <v>66</v>
      </c>
      <c r="BB107" t="s">
        <v>80</v>
      </c>
      <c r="BC107" t="s">
        <v>80</v>
      </c>
      <c r="BD107" t="s">
        <v>80</v>
      </c>
      <c r="BE107" t="s">
        <v>79</v>
      </c>
      <c r="BF107" t="s">
        <v>81</v>
      </c>
      <c r="BG107" t="s">
        <v>81</v>
      </c>
      <c r="BH107" t="s">
        <v>78</v>
      </c>
    </row>
    <row r="108" spans="1:60" x14ac:dyDescent="0.35">
      <c r="A108">
        <v>26</v>
      </c>
      <c r="B108" t="str" cm="1">
        <f t="array" ref="B108">_xlfn.IFS(A108&lt;=25,"18-25",A108&lt;=33,"26-33",A108&lt;=41,"34-41",A108&lt;=49,"42-49",A108&gt;49,"50 or above")</f>
        <v>26-33</v>
      </c>
      <c r="C108" t="s">
        <v>62</v>
      </c>
      <c r="D108" t="s">
        <v>63</v>
      </c>
      <c r="E108" t="s">
        <v>86</v>
      </c>
      <c r="F108" t="s">
        <v>87</v>
      </c>
      <c r="G108" t="s">
        <v>66</v>
      </c>
      <c r="H108" t="s">
        <v>88</v>
      </c>
      <c r="I108">
        <v>0</v>
      </c>
      <c r="Z108" t="str">
        <f>_xlfn.TEXTJOIN(",",TRUE,Table1[[#This Row],[Col5]],Table1[[#This Row],[Col4]],Table1[[#This Row],[Col3]],Table1[[#This Row],[Col2]],Table1[[#This Row],[Col1]])</f>
        <v/>
      </c>
      <c r="AP108" t="s">
        <v>84</v>
      </c>
      <c r="AR108" t="s">
        <v>118</v>
      </c>
      <c r="AY108" t="s">
        <v>125</v>
      </c>
      <c r="AZ108" t="s">
        <v>66</v>
      </c>
      <c r="BA108" t="s">
        <v>88</v>
      </c>
      <c r="BB108" t="s">
        <v>78</v>
      </c>
      <c r="BC108" t="s">
        <v>78</v>
      </c>
      <c r="BD108" t="s">
        <v>81</v>
      </c>
      <c r="BE108" t="s">
        <v>78</v>
      </c>
      <c r="BF108" t="s">
        <v>81</v>
      </c>
      <c r="BG108" t="s">
        <v>78</v>
      </c>
      <c r="BH108" t="s">
        <v>78</v>
      </c>
    </row>
    <row r="109" spans="1:60" x14ac:dyDescent="0.35">
      <c r="A109">
        <v>34</v>
      </c>
      <c r="B109" t="str" cm="1">
        <f t="array" ref="B109">_xlfn.IFS(A109&lt;=25,"18-25",A109&lt;=33,"26-33",A109&lt;=41,"34-41",A109&lt;=49,"42-49",A109&gt;49,"50 or above")</f>
        <v>34-41</v>
      </c>
      <c r="C109" t="s">
        <v>62</v>
      </c>
      <c r="D109" t="s">
        <v>63</v>
      </c>
      <c r="E109" t="s">
        <v>86</v>
      </c>
      <c r="F109" t="s">
        <v>87</v>
      </c>
      <c r="G109" t="s">
        <v>66</v>
      </c>
      <c r="H109" t="s">
        <v>88</v>
      </c>
      <c r="I109">
        <v>0</v>
      </c>
      <c r="Z109" t="str">
        <f>_xlfn.TEXTJOIN(",",TRUE,Table1[[#This Row],[Col5]],Table1[[#This Row],[Col4]],Table1[[#This Row],[Col3]],Table1[[#This Row],[Col2]],Table1[[#This Row],[Col1]])</f>
        <v/>
      </c>
      <c r="AR109" t="s">
        <v>118</v>
      </c>
      <c r="AU109" t="s">
        <v>138</v>
      </c>
      <c r="AY109" t="s">
        <v>125</v>
      </c>
      <c r="AZ109" t="s">
        <v>125</v>
      </c>
      <c r="BA109" t="s">
        <v>66</v>
      </c>
      <c r="BB109" t="s">
        <v>80</v>
      </c>
      <c r="BC109" t="s">
        <v>80</v>
      </c>
      <c r="BD109" t="s">
        <v>81</v>
      </c>
      <c r="BE109" t="s">
        <v>78</v>
      </c>
      <c r="BF109" t="s">
        <v>81</v>
      </c>
      <c r="BG109" t="s">
        <v>78</v>
      </c>
      <c r="BH109" t="s">
        <v>80</v>
      </c>
    </row>
    <row r="110" spans="1:60" x14ac:dyDescent="0.35">
      <c r="A110">
        <v>57</v>
      </c>
      <c r="B110" t="str" cm="1">
        <f t="array" ref="B110">_xlfn.IFS(A110&lt;=25,"18-25",A110&lt;=33,"26-33",A110&lt;=41,"34-41",A110&lt;=49,"42-49",A110&gt;49,"50 or above")</f>
        <v>50 or above</v>
      </c>
      <c r="C110" t="s">
        <v>62</v>
      </c>
      <c r="D110" t="s">
        <v>63</v>
      </c>
      <c r="E110" t="s">
        <v>109</v>
      </c>
      <c r="F110" t="s">
        <v>65</v>
      </c>
      <c r="G110" t="s">
        <v>66</v>
      </c>
      <c r="H110" t="s">
        <v>88</v>
      </c>
      <c r="I110">
        <v>0</v>
      </c>
      <c r="Z110" t="str">
        <f>_xlfn.TEXTJOIN(",",TRUE,Table1[[#This Row],[Col5]],Table1[[#This Row],[Col4]],Table1[[#This Row],[Col3]],Table1[[#This Row],[Col2]],Table1[[#This Row],[Col1]])</f>
        <v/>
      </c>
      <c r="AS110" t="s">
        <v>124</v>
      </c>
      <c r="AT110" t="s">
        <v>144</v>
      </c>
      <c r="AY110" t="s">
        <v>66</v>
      </c>
      <c r="AZ110" t="s">
        <v>88</v>
      </c>
      <c r="BA110" t="s">
        <v>66</v>
      </c>
      <c r="BB110" t="s">
        <v>81</v>
      </c>
      <c r="BC110" t="s">
        <v>81</v>
      </c>
      <c r="BD110" t="s">
        <v>78</v>
      </c>
      <c r="BE110" t="s">
        <v>81</v>
      </c>
      <c r="BF110" t="s">
        <v>81</v>
      </c>
      <c r="BG110" t="s">
        <v>81</v>
      </c>
      <c r="BH110" t="s">
        <v>78</v>
      </c>
    </row>
    <row r="111" spans="1:60" x14ac:dyDescent="0.35">
      <c r="A111">
        <v>42</v>
      </c>
      <c r="B111" t="str" cm="1">
        <f t="array" ref="B111">_xlfn.IFS(A111&lt;=25,"18-25",A111&lt;=33,"26-33",A111&lt;=41,"34-41",A111&lt;=49,"42-49",A111&gt;49,"50 or above")</f>
        <v>42-49</v>
      </c>
      <c r="C111" t="s">
        <v>62</v>
      </c>
      <c r="D111" t="s">
        <v>116</v>
      </c>
      <c r="E111" t="s">
        <v>86</v>
      </c>
      <c r="F111" t="s">
        <v>102</v>
      </c>
      <c r="G111" t="s">
        <v>66</v>
      </c>
      <c r="H111" t="s">
        <v>88</v>
      </c>
      <c r="I111">
        <v>0</v>
      </c>
      <c r="Z111" t="str">
        <f>_xlfn.TEXTJOIN(",",TRUE,Table1[[#This Row],[Col5]],Table1[[#This Row],[Col4]],Table1[[#This Row],[Col3]],Table1[[#This Row],[Col2]],Table1[[#This Row],[Col1]])</f>
        <v/>
      </c>
      <c r="AP111" t="s">
        <v>84</v>
      </c>
      <c r="AS111" t="s">
        <v>124</v>
      </c>
      <c r="AT111" t="s">
        <v>144</v>
      </c>
      <c r="AY111" t="s">
        <v>88</v>
      </c>
      <c r="AZ111" t="s">
        <v>88</v>
      </c>
      <c r="BA111" t="s">
        <v>66</v>
      </c>
      <c r="BB111" t="s">
        <v>80</v>
      </c>
      <c r="BC111" t="s">
        <v>80</v>
      </c>
      <c r="BD111" t="s">
        <v>81</v>
      </c>
      <c r="BE111" t="s">
        <v>80</v>
      </c>
      <c r="BF111" t="s">
        <v>81</v>
      </c>
      <c r="BG111" t="s">
        <v>80</v>
      </c>
      <c r="BH111" t="s">
        <v>78</v>
      </c>
    </row>
    <row r="112" spans="1:60" x14ac:dyDescent="0.35">
      <c r="A112">
        <v>61</v>
      </c>
      <c r="B112" t="str" cm="1">
        <f t="array" ref="B112">_xlfn.IFS(A112&lt;=25,"18-25",A112&lt;=33,"26-33",A112&lt;=41,"34-41",A112&lt;=49,"42-49",A112&gt;49,"50 or above")</f>
        <v>50 or above</v>
      </c>
      <c r="C112" t="s">
        <v>62</v>
      </c>
      <c r="D112" t="s">
        <v>63</v>
      </c>
      <c r="E112" t="s">
        <v>136</v>
      </c>
      <c r="F112" t="s">
        <v>102</v>
      </c>
      <c r="G112" t="s">
        <v>66</v>
      </c>
      <c r="H112" t="s">
        <v>88</v>
      </c>
      <c r="I112">
        <v>0</v>
      </c>
      <c r="Z112" t="str">
        <f>_xlfn.TEXTJOIN(",",TRUE,Table1[[#This Row],[Col5]],Table1[[#This Row],[Col4]],Table1[[#This Row],[Col3]],Table1[[#This Row],[Col2]],Table1[[#This Row],[Col1]])</f>
        <v/>
      </c>
      <c r="AY112" t="s">
        <v>88</v>
      </c>
      <c r="AZ112" t="s">
        <v>125</v>
      </c>
      <c r="BA112" t="s">
        <v>66</v>
      </c>
      <c r="BB112" t="s">
        <v>78</v>
      </c>
      <c r="BC112" t="s">
        <v>78</v>
      </c>
      <c r="BD112" t="s">
        <v>80</v>
      </c>
      <c r="BE112" t="s">
        <v>78</v>
      </c>
      <c r="BF112" t="s">
        <v>81</v>
      </c>
      <c r="BG112" t="s">
        <v>80</v>
      </c>
      <c r="BH112" t="s">
        <v>78</v>
      </c>
    </row>
    <row r="113" spans="1:60" x14ac:dyDescent="0.35">
      <c r="A113">
        <v>29</v>
      </c>
      <c r="B113" t="str" cm="1">
        <f t="array" ref="B113">_xlfn.IFS(A113&lt;=25,"18-25",A113&lt;=33,"26-33",A113&lt;=41,"34-41",A113&lt;=49,"42-49",A113&gt;49,"50 or above")</f>
        <v>26-33</v>
      </c>
      <c r="C113" t="s">
        <v>62</v>
      </c>
      <c r="D113" t="s">
        <v>63</v>
      </c>
      <c r="E113" t="s">
        <v>86</v>
      </c>
      <c r="F113" t="s">
        <v>87</v>
      </c>
      <c r="G113" t="s">
        <v>66</v>
      </c>
      <c r="H113" t="s">
        <v>88</v>
      </c>
      <c r="I113">
        <v>0</v>
      </c>
      <c r="Z113" t="str">
        <f>_xlfn.TEXTJOIN(",",TRUE,Table1[[#This Row],[Col5]],Table1[[#This Row],[Col4]],Table1[[#This Row],[Col3]],Table1[[#This Row],[Col2]],Table1[[#This Row],[Col1]])</f>
        <v/>
      </c>
      <c r="AR113" t="s">
        <v>118</v>
      </c>
      <c r="AS113" t="s">
        <v>124</v>
      </c>
      <c r="AY113" t="s">
        <v>66</v>
      </c>
      <c r="AZ113" t="s">
        <v>66</v>
      </c>
      <c r="BA113" t="s">
        <v>88</v>
      </c>
      <c r="BB113" t="s">
        <v>80</v>
      </c>
      <c r="BC113" t="s">
        <v>80</v>
      </c>
      <c r="BD113" t="s">
        <v>81</v>
      </c>
      <c r="BE113" t="s">
        <v>81</v>
      </c>
      <c r="BF113" t="s">
        <v>78</v>
      </c>
      <c r="BG113" t="s">
        <v>80</v>
      </c>
      <c r="BH113" t="s">
        <v>81</v>
      </c>
    </row>
    <row r="114" spans="1:60" x14ac:dyDescent="0.35">
      <c r="A114">
        <v>48</v>
      </c>
      <c r="B114" t="str" cm="1">
        <f t="array" ref="B114">_xlfn.IFS(A114&lt;=25,"18-25",A114&lt;=33,"26-33",A114&lt;=41,"34-41",A114&lt;=49,"42-49",A114&gt;49,"50 or above")</f>
        <v>42-49</v>
      </c>
      <c r="C114" t="s">
        <v>62</v>
      </c>
      <c r="D114" t="s">
        <v>63</v>
      </c>
      <c r="E114" t="s">
        <v>86</v>
      </c>
      <c r="F114" t="s">
        <v>102</v>
      </c>
      <c r="G114" t="s">
        <v>66</v>
      </c>
      <c r="H114" t="s">
        <v>88</v>
      </c>
      <c r="I114">
        <v>0</v>
      </c>
      <c r="Z114" t="str">
        <f>_xlfn.TEXTJOIN(",",TRUE,Table1[[#This Row],[Col5]],Table1[[#This Row],[Col4]],Table1[[#This Row],[Col3]],Table1[[#This Row],[Col2]],Table1[[#This Row],[Col1]])</f>
        <v/>
      </c>
      <c r="AU114" t="s">
        <v>145</v>
      </c>
      <c r="AY114" t="s">
        <v>88</v>
      </c>
      <c r="AZ114" t="s">
        <v>125</v>
      </c>
      <c r="BA114" t="s">
        <v>66</v>
      </c>
      <c r="BB114" t="s">
        <v>80</v>
      </c>
      <c r="BC114" t="s">
        <v>80</v>
      </c>
      <c r="BD114" t="s">
        <v>80</v>
      </c>
      <c r="BE114" t="s">
        <v>80</v>
      </c>
      <c r="BF114" t="s">
        <v>81</v>
      </c>
      <c r="BG114" t="s">
        <v>80</v>
      </c>
      <c r="BH114" t="s">
        <v>78</v>
      </c>
    </row>
    <row r="115" spans="1:60" x14ac:dyDescent="0.35">
      <c r="A115">
        <v>53</v>
      </c>
      <c r="B115" t="str" cm="1">
        <f t="array" ref="B115">_xlfn.IFS(A115&lt;=25,"18-25",A115&lt;=33,"26-33",A115&lt;=41,"34-41",A115&lt;=49,"42-49",A115&gt;49,"50 or above")</f>
        <v>50 or above</v>
      </c>
      <c r="C115" t="s">
        <v>62</v>
      </c>
      <c r="D115" t="s">
        <v>105</v>
      </c>
      <c r="E115" t="s">
        <v>109</v>
      </c>
      <c r="F115" t="s">
        <v>65</v>
      </c>
      <c r="G115" t="s">
        <v>66</v>
      </c>
      <c r="H115" t="s">
        <v>88</v>
      </c>
      <c r="I115">
        <v>0</v>
      </c>
      <c r="Z115" t="str">
        <f>_xlfn.TEXTJOIN(",",TRUE,Table1[[#This Row],[Col5]],Table1[[#This Row],[Col4]],Table1[[#This Row],[Col3]],Table1[[#This Row],[Col2]],Table1[[#This Row],[Col1]])</f>
        <v/>
      </c>
      <c r="AR115" t="s">
        <v>118</v>
      </c>
      <c r="AU115" t="s">
        <v>145</v>
      </c>
      <c r="AY115" t="s">
        <v>125</v>
      </c>
      <c r="AZ115" t="s">
        <v>125</v>
      </c>
      <c r="BA115" t="s">
        <v>66</v>
      </c>
      <c r="BB115" t="s">
        <v>80</v>
      </c>
      <c r="BC115" t="s">
        <v>80</v>
      </c>
      <c r="BD115" t="s">
        <v>78</v>
      </c>
      <c r="BE115" t="s">
        <v>80</v>
      </c>
      <c r="BF115" t="s">
        <v>81</v>
      </c>
      <c r="BG115" t="s">
        <v>80</v>
      </c>
      <c r="BH115" t="s">
        <v>78</v>
      </c>
    </row>
    <row r="116" spans="1:60" x14ac:dyDescent="0.35">
      <c r="A116">
        <v>37</v>
      </c>
      <c r="B116" t="str" cm="1">
        <f t="array" ref="B116">_xlfn.IFS(A116&lt;=25,"18-25",A116&lt;=33,"26-33",A116&lt;=41,"34-41",A116&lt;=49,"42-49",A116&gt;49,"50 or above")</f>
        <v>34-41</v>
      </c>
      <c r="C116" t="s">
        <v>62</v>
      </c>
      <c r="D116" t="s">
        <v>119</v>
      </c>
      <c r="E116" t="s">
        <v>109</v>
      </c>
      <c r="F116" t="s">
        <v>65</v>
      </c>
      <c r="G116" t="s">
        <v>66</v>
      </c>
      <c r="H116" t="s">
        <v>88</v>
      </c>
      <c r="I116">
        <v>0</v>
      </c>
      <c r="Z116" t="str">
        <f>_xlfn.TEXTJOIN(",",TRUE,Table1[[#This Row],[Col5]],Table1[[#This Row],[Col4]],Table1[[#This Row],[Col3]],Table1[[#This Row],[Col2]],Table1[[#This Row],[Col1]])</f>
        <v/>
      </c>
      <c r="AY116" t="s">
        <v>125</v>
      </c>
      <c r="AZ116" t="s">
        <v>66</v>
      </c>
      <c r="BA116" t="s">
        <v>66</v>
      </c>
      <c r="BB116" t="s">
        <v>80</v>
      </c>
      <c r="BC116" t="s">
        <v>80</v>
      </c>
      <c r="BD116" t="s">
        <v>80</v>
      </c>
      <c r="BE116" t="s">
        <v>80</v>
      </c>
      <c r="BF116" t="s">
        <v>81</v>
      </c>
      <c r="BG116" t="s">
        <v>80</v>
      </c>
      <c r="BH116" t="s">
        <v>80</v>
      </c>
    </row>
    <row r="117" spans="1:60" x14ac:dyDescent="0.35">
      <c r="A117">
        <v>65</v>
      </c>
      <c r="B117" t="str" cm="1">
        <f t="array" ref="B117">_xlfn.IFS(A117&lt;=25,"18-25",A117&lt;=33,"26-33",A117&lt;=41,"34-41",A117&lt;=49,"42-49",A117&gt;49,"50 or above")</f>
        <v>50 or above</v>
      </c>
      <c r="C117" t="s">
        <v>62</v>
      </c>
      <c r="D117" t="s">
        <v>63</v>
      </c>
      <c r="E117" t="s">
        <v>136</v>
      </c>
      <c r="F117" t="s">
        <v>102</v>
      </c>
      <c r="G117" t="s">
        <v>88</v>
      </c>
      <c r="H117" t="s">
        <v>88</v>
      </c>
      <c r="I117">
        <v>0</v>
      </c>
      <c r="Z117" t="str">
        <f>_xlfn.TEXTJOIN(",",TRUE,Table1[[#This Row],[Col5]],Table1[[#This Row],[Col4]],Table1[[#This Row],[Col3]],Table1[[#This Row],[Col2]],Table1[[#This Row],[Col1]])</f>
        <v/>
      </c>
      <c r="AT117" t="s">
        <v>144</v>
      </c>
      <c r="AU117" t="s">
        <v>145</v>
      </c>
      <c r="AY117" t="s">
        <v>88</v>
      </c>
      <c r="AZ117" t="s">
        <v>88</v>
      </c>
      <c r="BA117" t="s">
        <v>66</v>
      </c>
      <c r="BB117" t="s">
        <v>81</v>
      </c>
      <c r="BC117" t="s">
        <v>81</v>
      </c>
      <c r="BD117" t="s">
        <v>81</v>
      </c>
      <c r="BE117" t="s">
        <v>81</v>
      </c>
      <c r="BF117" t="s">
        <v>81</v>
      </c>
      <c r="BG117" t="s">
        <v>81</v>
      </c>
      <c r="BH117" t="s">
        <v>81</v>
      </c>
    </row>
    <row r="118" spans="1:60" x14ac:dyDescent="0.35">
      <c r="A118">
        <v>44</v>
      </c>
      <c r="B118" t="str" cm="1">
        <f t="array" ref="B118">_xlfn.IFS(A118&lt;=25,"18-25",A118&lt;=33,"26-33",A118&lt;=41,"34-41",A118&lt;=49,"42-49",A118&gt;49,"50 or above")</f>
        <v>42-49</v>
      </c>
      <c r="C118" t="s">
        <v>62</v>
      </c>
      <c r="D118" t="s">
        <v>63</v>
      </c>
      <c r="E118" t="s">
        <v>86</v>
      </c>
      <c r="F118" t="s">
        <v>102</v>
      </c>
      <c r="G118" t="s">
        <v>66</v>
      </c>
      <c r="H118" t="s">
        <v>88</v>
      </c>
      <c r="I118">
        <v>0</v>
      </c>
      <c r="Z118" t="str">
        <f>_xlfn.TEXTJOIN(",",TRUE,Table1[[#This Row],[Col5]],Table1[[#This Row],[Col4]],Table1[[#This Row],[Col3]],Table1[[#This Row],[Col2]],Table1[[#This Row],[Col1]])</f>
        <v/>
      </c>
      <c r="AY118" t="s">
        <v>125</v>
      </c>
      <c r="AZ118" t="s">
        <v>66</v>
      </c>
      <c r="BA118" t="s">
        <v>66</v>
      </c>
      <c r="BB118" t="s">
        <v>80</v>
      </c>
      <c r="BC118" t="s">
        <v>80</v>
      </c>
      <c r="BD118" t="s">
        <v>80</v>
      </c>
      <c r="BE118" t="s">
        <v>80</v>
      </c>
      <c r="BF118" t="s">
        <v>81</v>
      </c>
      <c r="BG118" t="s">
        <v>80</v>
      </c>
      <c r="BH118" t="s">
        <v>78</v>
      </c>
    </row>
    <row r="119" spans="1:60" x14ac:dyDescent="0.35">
      <c r="A119">
        <v>51</v>
      </c>
      <c r="B119" t="str" cm="1">
        <f t="array" ref="B119">_xlfn.IFS(A119&lt;=25,"18-25",A119&lt;=33,"26-33",A119&lt;=41,"34-41",A119&lt;=49,"42-49",A119&gt;49,"50 or above")</f>
        <v>50 or above</v>
      </c>
      <c r="C119" t="s">
        <v>62</v>
      </c>
      <c r="D119" t="s">
        <v>63</v>
      </c>
      <c r="E119" t="s">
        <v>86</v>
      </c>
      <c r="F119" t="s">
        <v>102</v>
      </c>
      <c r="G119" t="s">
        <v>88</v>
      </c>
      <c r="H119" t="s">
        <v>88</v>
      </c>
      <c r="I119">
        <v>0</v>
      </c>
      <c r="Z119" t="str">
        <f>_xlfn.TEXTJOIN(",",TRUE,Table1[[#This Row],[Col5]],Table1[[#This Row],[Col4]],Table1[[#This Row],[Col3]],Table1[[#This Row],[Col2]],Table1[[#This Row],[Col1]])</f>
        <v/>
      </c>
      <c r="AO119" t="s">
        <v>83</v>
      </c>
      <c r="AS119" t="s">
        <v>124</v>
      </c>
      <c r="AY119" t="s">
        <v>88</v>
      </c>
      <c r="AZ119" t="s">
        <v>88</v>
      </c>
      <c r="BA119" t="s">
        <v>88</v>
      </c>
      <c r="BB119" t="s">
        <v>81</v>
      </c>
      <c r="BC119" t="s">
        <v>81</v>
      </c>
      <c r="BD119" t="s">
        <v>81</v>
      </c>
      <c r="BE119" t="s">
        <v>81</v>
      </c>
      <c r="BF119" t="s">
        <v>81</v>
      </c>
      <c r="BG119" t="s">
        <v>81</v>
      </c>
      <c r="BH119" t="s">
        <v>81</v>
      </c>
    </row>
    <row r="120" spans="1:60" x14ac:dyDescent="0.35">
      <c r="A120">
        <v>39</v>
      </c>
      <c r="B120" t="str" cm="1">
        <f t="array" ref="B120">_xlfn.IFS(A120&lt;=25,"18-25",A120&lt;=33,"26-33",A120&lt;=41,"34-41",A120&lt;=49,"42-49",A120&gt;49,"50 or above")</f>
        <v>34-41</v>
      </c>
      <c r="C120" t="s">
        <v>62</v>
      </c>
      <c r="D120" t="s">
        <v>116</v>
      </c>
      <c r="E120" t="s">
        <v>109</v>
      </c>
      <c r="F120" t="s">
        <v>102</v>
      </c>
      <c r="G120" t="s">
        <v>66</v>
      </c>
      <c r="H120" t="s">
        <v>88</v>
      </c>
      <c r="I120">
        <v>0</v>
      </c>
      <c r="Z120" t="str">
        <f>_xlfn.TEXTJOIN(",",TRUE,Table1[[#This Row],[Col5]],Table1[[#This Row],[Col4]],Table1[[#This Row],[Col3]],Table1[[#This Row],[Col2]],Table1[[#This Row],[Col1]])</f>
        <v/>
      </c>
      <c r="AU120" t="s">
        <v>145</v>
      </c>
      <c r="AY120" t="s">
        <v>125</v>
      </c>
      <c r="AZ120" t="s">
        <v>125</v>
      </c>
      <c r="BA120" t="s">
        <v>66</v>
      </c>
      <c r="BB120" t="s">
        <v>80</v>
      </c>
      <c r="BC120" t="s">
        <v>80</v>
      </c>
      <c r="BD120" t="s">
        <v>81</v>
      </c>
      <c r="BE120" t="s">
        <v>80</v>
      </c>
      <c r="BF120" t="s">
        <v>81</v>
      </c>
      <c r="BG120" t="s">
        <v>80</v>
      </c>
      <c r="BH120" t="s">
        <v>78</v>
      </c>
    </row>
    <row r="121" spans="1:60" x14ac:dyDescent="0.35">
      <c r="A121">
        <v>58</v>
      </c>
      <c r="B121" t="str" cm="1">
        <f t="array" ref="B121">_xlfn.IFS(A121&lt;=25,"18-25",A121&lt;=33,"26-33",A121&lt;=41,"34-41",A121&lt;=49,"42-49",A121&gt;49,"50 or above")</f>
        <v>50 or above</v>
      </c>
      <c r="C121" t="s">
        <v>62</v>
      </c>
      <c r="D121" t="s">
        <v>63</v>
      </c>
      <c r="E121" t="s">
        <v>136</v>
      </c>
      <c r="F121" t="s">
        <v>65</v>
      </c>
      <c r="G121" t="s">
        <v>88</v>
      </c>
      <c r="H121" t="s">
        <v>88</v>
      </c>
      <c r="I121">
        <v>0</v>
      </c>
      <c r="Z121" t="str">
        <f>_xlfn.TEXTJOIN(",",TRUE,Table1[[#This Row],[Col5]],Table1[[#This Row],[Col4]],Table1[[#This Row],[Col3]],Table1[[#This Row],[Col2]],Table1[[#This Row],[Col1]])</f>
        <v/>
      </c>
      <c r="AR121" t="s">
        <v>118</v>
      </c>
      <c r="AY121" t="s">
        <v>88</v>
      </c>
      <c r="AZ121" t="s">
        <v>88</v>
      </c>
      <c r="BA121" t="s">
        <v>66</v>
      </c>
      <c r="BB121" t="s">
        <v>81</v>
      </c>
      <c r="BC121" t="s">
        <v>81</v>
      </c>
      <c r="BD121" t="s">
        <v>81</v>
      </c>
      <c r="BE121" t="s">
        <v>81</v>
      </c>
      <c r="BF121" t="s">
        <v>81</v>
      </c>
      <c r="BG121" t="s">
        <v>81</v>
      </c>
      <c r="BH121" t="s">
        <v>81</v>
      </c>
    </row>
    <row r="122" spans="1:60" x14ac:dyDescent="0.35">
      <c r="A122">
        <v>46</v>
      </c>
      <c r="B122" t="str" cm="1">
        <f t="array" ref="B122">_xlfn.IFS(A122&lt;=25,"18-25",A122&lt;=33,"26-33",A122&lt;=41,"34-41",A122&lt;=49,"42-49",A122&gt;49,"50 or above")</f>
        <v>42-49</v>
      </c>
      <c r="C122" t="s">
        <v>62</v>
      </c>
      <c r="D122" t="s">
        <v>63</v>
      </c>
      <c r="E122" t="s">
        <v>86</v>
      </c>
      <c r="F122" t="s">
        <v>102</v>
      </c>
      <c r="G122" t="s">
        <v>66</v>
      </c>
      <c r="H122" t="s">
        <v>88</v>
      </c>
      <c r="I122">
        <v>0</v>
      </c>
      <c r="Z122" t="str">
        <f>_xlfn.TEXTJOIN(",",TRUE,Table1[[#This Row],[Col5]],Table1[[#This Row],[Col4]],Table1[[#This Row],[Col3]],Table1[[#This Row],[Col2]],Table1[[#This Row],[Col1]])</f>
        <v/>
      </c>
      <c r="AY122" t="s">
        <v>66</v>
      </c>
      <c r="AZ122" t="s">
        <v>66</v>
      </c>
      <c r="BA122" t="s">
        <v>66</v>
      </c>
      <c r="BB122" t="s">
        <v>80</v>
      </c>
      <c r="BC122" t="s">
        <v>80</v>
      </c>
      <c r="BD122" t="s">
        <v>80</v>
      </c>
      <c r="BE122" t="s">
        <v>80</v>
      </c>
      <c r="BF122" t="s">
        <v>81</v>
      </c>
      <c r="BG122" t="s">
        <v>80</v>
      </c>
      <c r="BH122" t="s">
        <v>78</v>
      </c>
    </row>
    <row r="123" spans="1:60" x14ac:dyDescent="0.35">
      <c r="A123">
        <v>31</v>
      </c>
      <c r="B123" t="str" cm="1">
        <f t="array" ref="B123">_xlfn.IFS(A123&lt;=25,"18-25",A123&lt;=33,"26-33",A123&lt;=41,"34-41",A123&lt;=49,"42-49",A123&gt;49,"50 or above")</f>
        <v>26-33</v>
      </c>
      <c r="C123" t="s">
        <v>62</v>
      </c>
      <c r="D123" t="s">
        <v>105</v>
      </c>
      <c r="E123" t="s">
        <v>86</v>
      </c>
      <c r="F123" t="s">
        <v>102</v>
      </c>
      <c r="G123" t="s">
        <v>66</v>
      </c>
      <c r="H123" t="s">
        <v>88</v>
      </c>
      <c r="I123">
        <v>0</v>
      </c>
      <c r="Z123" t="str">
        <f>_xlfn.TEXTJOIN(",",TRUE,Table1[[#This Row],[Col5]],Table1[[#This Row],[Col4]],Table1[[#This Row],[Col3]],Table1[[#This Row],[Col2]],Table1[[#This Row],[Col1]])</f>
        <v/>
      </c>
      <c r="AU123" t="s">
        <v>145</v>
      </c>
      <c r="AY123" t="s">
        <v>66</v>
      </c>
      <c r="AZ123" t="s">
        <v>66</v>
      </c>
      <c r="BA123" t="s">
        <v>66</v>
      </c>
      <c r="BB123" t="s">
        <v>80</v>
      </c>
      <c r="BC123" t="s">
        <v>80</v>
      </c>
      <c r="BD123" t="s">
        <v>81</v>
      </c>
      <c r="BE123" t="s">
        <v>80</v>
      </c>
      <c r="BF123" t="s">
        <v>81</v>
      </c>
      <c r="BG123" t="s">
        <v>81</v>
      </c>
      <c r="BH123" t="s">
        <v>78</v>
      </c>
    </row>
    <row r="124" spans="1:60" x14ac:dyDescent="0.35">
      <c r="A124">
        <v>62</v>
      </c>
      <c r="B124" t="str" cm="1">
        <f t="array" ref="B124">_xlfn.IFS(A124&lt;=25,"18-25",A124&lt;=33,"26-33",A124&lt;=41,"34-41",A124&lt;=49,"42-49",A124&gt;49,"50 or above")</f>
        <v>50 or above</v>
      </c>
      <c r="C124" t="s">
        <v>62</v>
      </c>
      <c r="D124" t="s">
        <v>63</v>
      </c>
      <c r="E124" t="s">
        <v>136</v>
      </c>
      <c r="F124" t="s">
        <v>65</v>
      </c>
      <c r="G124" t="s">
        <v>88</v>
      </c>
      <c r="H124" t="s">
        <v>88</v>
      </c>
      <c r="I124">
        <v>0</v>
      </c>
      <c r="Z124" t="str">
        <f>_xlfn.TEXTJOIN(",",TRUE,Table1[[#This Row],[Col5]],Table1[[#This Row],[Col4]],Table1[[#This Row],[Col3]],Table1[[#This Row],[Col2]],Table1[[#This Row],[Col1]])</f>
        <v/>
      </c>
      <c r="AR124" t="s">
        <v>118</v>
      </c>
      <c r="AY124" t="s">
        <v>125</v>
      </c>
      <c r="AZ124" t="s">
        <v>125</v>
      </c>
      <c r="BA124" t="s">
        <v>66</v>
      </c>
      <c r="BB124" t="s">
        <v>80</v>
      </c>
      <c r="BC124" t="s">
        <v>80</v>
      </c>
      <c r="BD124" t="s">
        <v>78</v>
      </c>
      <c r="BE124" t="s">
        <v>80</v>
      </c>
      <c r="BF124" t="s">
        <v>81</v>
      </c>
      <c r="BG124" t="s">
        <v>80</v>
      </c>
      <c r="BH124" t="s">
        <v>80</v>
      </c>
    </row>
    <row r="125" spans="1:60" x14ac:dyDescent="0.35">
      <c r="A125">
        <v>55</v>
      </c>
      <c r="B125" t="str" cm="1">
        <f t="array" ref="B125">_xlfn.IFS(A125&lt;=25,"18-25",A125&lt;=33,"26-33",A125&lt;=41,"34-41",A125&lt;=49,"42-49",A125&gt;49,"50 or above")</f>
        <v>50 or above</v>
      </c>
      <c r="C125" t="s">
        <v>62</v>
      </c>
      <c r="D125" t="s">
        <v>119</v>
      </c>
      <c r="E125" t="s">
        <v>109</v>
      </c>
      <c r="F125" t="s">
        <v>102</v>
      </c>
      <c r="G125" t="s">
        <v>66</v>
      </c>
      <c r="H125" t="s">
        <v>88</v>
      </c>
      <c r="I125">
        <v>0</v>
      </c>
      <c r="Z125" t="str">
        <f>_xlfn.TEXTJOIN(",",TRUE,Table1[[#This Row],[Col5]],Table1[[#This Row],[Col4]],Table1[[#This Row],[Col3]],Table1[[#This Row],[Col2]],Table1[[#This Row],[Col1]])</f>
        <v/>
      </c>
      <c r="AU125" t="s">
        <v>145</v>
      </c>
      <c r="AY125" t="s">
        <v>125</v>
      </c>
      <c r="AZ125" t="s">
        <v>66</v>
      </c>
      <c r="BA125" t="s">
        <v>66</v>
      </c>
      <c r="BB125" t="s">
        <v>80</v>
      </c>
      <c r="BC125" t="s">
        <v>80</v>
      </c>
      <c r="BD125" t="s">
        <v>80</v>
      </c>
      <c r="BE125" t="s">
        <v>80</v>
      </c>
      <c r="BF125" t="s">
        <v>81</v>
      </c>
      <c r="BG125" t="s">
        <v>80</v>
      </c>
      <c r="BH125" t="s">
        <v>80</v>
      </c>
    </row>
    <row r="126" spans="1:60" x14ac:dyDescent="0.35">
      <c r="A126">
        <v>41</v>
      </c>
      <c r="B126" t="str" cm="1">
        <f t="array" ref="B126">_xlfn.IFS(A126&lt;=25,"18-25",A126&lt;=33,"26-33",A126&lt;=41,"34-41",A126&lt;=49,"42-49",A126&gt;49,"50 or above")</f>
        <v>34-41</v>
      </c>
      <c r="C126" t="s">
        <v>62</v>
      </c>
      <c r="D126" t="s">
        <v>63</v>
      </c>
      <c r="E126" t="s">
        <v>86</v>
      </c>
      <c r="F126" t="s">
        <v>87</v>
      </c>
      <c r="G126" t="s">
        <v>66</v>
      </c>
      <c r="H126" t="s">
        <v>88</v>
      </c>
      <c r="I126">
        <v>0</v>
      </c>
      <c r="Z126" t="str">
        <f>_xlfn.TEXTJOIN(",",TRUE,Table1[[#This Row],[Col5]],Table1[[#This Row],[Col4]],Table1[[#This Row],[Col3]],Table1[[#This Row],[Col2]],Table1[[#This Row],[Col1]])</f>
        <v/>
      </c>
      <c r="AR126" t="s">
        <v>118</v>
      </c>
      <c r="AU126" t="s">
        <v>138</v>
      </c>
      <c r="AY126" t="s">
        <v>66</v>
      </c>
      <c r="AZ126" t="s">
        <v>66</v>
      </c>
      <c r="BA126" t="s">
        <v>66</v>
      </c>
      <c r="BB126" t="s">
        <v>80</v>
      </c>
      <c r="BC126" t="s">
        <v>80</v>
      </c>
      <c r="BD126" t="s">
        <v>80</v>
      </c>
      <c r="BE126" t="s">
        <v>80</v>
      </c>
      <c r="BF126" t="s">
        <v>81</v>
      </c>
      <c r="BG126" t="s">
        <v>80</v>
      </c>
      <c r="BH126" t="s">
        <v>80</v>
      </c>
    </row>
    <row r="127" spans="1:60" x14ac:dyDescent="0.35">
      <c r="A127">
        <v>68</v>
      </c>
      <c r="B127" t="str" cm="1">
        <f t="array" ref="B127">_xlfn.IFS(A127&lt;=25,"18-25",A127&lt;=33,"26-33",A127&lt;=41,"34-41",A127&lt;=49,"42-49",A127&gt;49,"50 or above")</f>
        <v>50 or above</v>
      </c>
      <c r="C127" t="s">
        <v>62</v>
      </c>
      <c r="D127" t="s">
        <v>63</v>
      </c>
      <c r="E127" t="s">
        <v>136</v>
      </c>
      <c r="F127" t="s">
        <v>102</v>
      </c>
      <c r="G127" t="s">
        <v>66</v>
      </c>
      <c r="H127" t="s">
        <v>88</v>
      </c>
      <c r="I127">
        <v>0</v>
      </c>
      <c r="Z127" t="str">
        <f>_xlfn.TEXTJOIN(",",TRUE,Table1[[#This Row],[Col5]],Table1[[#This Row],[Col4]],Table1[[#This Row],[Col3]],Table1[[#This Row],[Col2]],Table1[[#This Row],[Col1]])</f>
        <v/>
      </c>
      <c r="AO127" t="s">
        <v>83</v>
      </c>
      <c r="AY127" t="s">
        <v>125</v>
      </c>
      <c r="AZ127" t="s">
        <v>88</v>
      </c>
      <c r="BA127" t="s">
        <v>66</v>
      </c>
      <c r="BB127" t="s">
        <v>79</v>
      </c>
      <c r="BC127" t="s">
        <v>79</v>
      </c>
      <c r="BD127" t="s">
        <v>79</v>
      </c>
      <c r="BE127" t="s">
        <v>79</v>
      </c>
      <c r="BF127" t="s">
        <v>79</v>
      </c>
      <c r="BG127" t="s">
        <v>79</v>
      </c>
      <c r="BH127" t="s">
        <v>78</v>
      </c>
    </row>
    <row r="128" spans="1:60" x14ac:dyDescent="0.35">
      <c r="A128">
        <v>27</v>
      </c>
      <c r="B128" t="str" cm="1">
        <f t="array" ref="B128">_xlfn.IFS(A128&lt;=25,"18-25",A128&lt;=33,"26-33",A128&lt;=41,"34-41",A128&lt;=49,"42-49",A128&gt;49,"50 or above")</f>
        <v>26-33</v>
      </c>
      <c r="C128" t="s">
        <v>62</v>
      </c>
      <c r="D128" t="s">
        <v>63</v>
      </c>
      <c r="E128" t="s">
        <v>86</v>
      </c>
      <c r="F128" t="s">
        <v>127</v>
      </c>
      <c r="G128" t="s">
        <v>66</v>
      </c>
      <c r="H128" t="s">
        <v>88</v>
      </c>
      <c r="I128">
        <v>0</v>
      </c>
      <c r="Z128" t="str">
        <f>_xlfn.TEXTJOIN(",",TRUE,Table1[[#This Row],[Col5]],Table1[[#This Row],[Col4]],Table1[[#This Row],[Col3]],Table1[[#This Row],[Col2]],Table1[[#This Row],[Col1]])</f>
        <v/>
      </c>
      <c r="AP128" t="s">
        <v>84</v>
      </c>
      <c r="AS128" t="s">
        <v>143</v>
      </c>
      <c r="AW128" t="s">
        <v>142</v>
      </c>
      <c r="AY128" t="s">
        <v>125</v>
      </c>
      <c r="AZ128" t="s">
        <v>66</v>
      </c>
      <c r="BA128" t="s">
        <v>88</v>
      </c>
      <c r="BB128" t="s">
        <v>78</v>
      </c>
      <c r="BC128" t="s">
        <v>80</v>
      </c>
      <c r="BD128" t="s">
        <v>81</v>
      </c>
      <c r="BE128" t="s">
        <v>80</v>
      </c>
      <c r="BF128" t="s">
        <v>101</v>
      </c>
      <c r="BG128" t="s">
        <v>78</v>
      </c>
      <c r="BH128" t="s">
        <v>80</v>
      </c>
    </row>
    <row r="129" spans="1:60" x14ac:dyDescent="0.35">
      <c r="A129">
        <v>49</v>
      </c>
      <c r="B129" t="str" cm="1">
        <f t="array" ref="B129">_xlfn.IFS(A129&lt;=25,"18-25",A129&lt;=33,"26-33",A129&lt;=41,"34-41",A129&lt;=49,"42-49",A129&gt;49,"50 or above")</f>
        <v>42-49</v>
      </c>
      <c r="C129" t="s">
        <v>62</v>
      </c>
      <c r="D129" t="s">
        <v>63</v>
      </c>
      <c r="E129" t="s">
        <v>86</v>
      </c>
      <c r="F129" t="s">
        <v>87</v>
      </c>
      <c r="G129" t="s">
        <v>66</v>
      </c>
      <c r="H129" t="s">
        <v>88</v>
      </c>
      <c r="I129">
        <v>0</v>
      </c>
      <c r="Z129" t="str">
        <f>_xlfn.TEXTJOIN(",",TRUE,Table1[[#This Row],[Col5]],Table1[[#This Row],[Col4]],Table1[[#This Row],[Col3]],Table1[[#This Row],[Col2]],Table1[[#This Row],[Col1]])</f>
        <v/>
      </c>
      <c r="AU129" t="s">
        <v>145</v>
      </c>
      <c r="AY129" t="s">
        <v>88</v>
      </c>
      <c r="AZ129" t="s">
        <v>88</v>
      </c>
      <c r="BA129" t="s">
        <v>88</v>
      </c>
      <c r="BB129" t="s">
        <v>101</v>
      </c>
      <c r="BC129" t="s">
        <v>101</v>
      </c>
      <c r="BD129" t="s">
        <v>101</v>
      </c>
      <c r="BE129" t="s">
        <v>101</v>
      </c>
      <c r="BF129" t="s">
        <v>101</v>
      </c>
      <c r="BG129" t="s">
        <v>101</v>
      </c>
      <c r="BH129" t="s">
        <v>80</v>
      </c>
    </row>
    <row r="130" spans="1:60" x14ac:dyDescent="0.35">
      <c r="A130">
        <v>59</v>
      </c>
      <c r="B130" t="str" cm="1">
        <f t="array" ref="B130">_xlfn.IFS(A130&lt;=25,"18-25",A130&lt;=33,"26-33",A130&lt;=41,"34-41",A130&lt;=49,"42-49",A130&gt;49,"50 or above")</f>
        <v>50 or above</v>
      </c>
      <c r="C130" t="s">
        <v>62</v>
      </c>
      <c r="D130" t="s">
        <v>119</v>
      </c>
      <c r="E130" t="s">
        <v>136</v>
      </c>
      <c r="F130" t="s">
        <v>65</v>
      </c>
      <c r="G130" t="s">
        <v>66</v>
      </c>
      <c r="H130" t="s">
        <v>88</v>
      </c>
      <c r="I130">
        <v>0</v>
      </c>
      <c r="Z130" t="str">
        <f>_xlfn.TEXTJOIN(",",TRUE,Table1[[#This Row],[Col5]],Table1[[#This Row],[Col4]],Table1[[#This Row],[Col3]],Table1[[#This Row],[Col2]],Table1[[#This Row],[Col1]])</f>
        <v/>
      </c>
      <c r="AO130" t="s">
        <v>83</v>
      </c>
      <c r="AY130" t="s">
        <v>66</v>
      </c>
      <c r="AZ130" t="s">
        <v>88</v>
      </c>
      <c r="BA130" t="s">
        <v>66</v>
      </c>
      <c r="BB130" t="s">
        <v>79</v>
      </c>
      <c r="BC130" t="s">
        <v>79</v>
      </c>
      <c r="BD130" t="s">
        <v>81</v>
      </c>
      <c r="BE130" t="s">
        <v>79</v>
      </c>
      <c r="BF130" t="s">
        <v>81</v>
      </c>
      <c r="BG130" t="s">
        <v>79</v>
      </c>
      <c r="BH130" t="s">
        <v>78</v>
      </c>
    </row>
    <row r="131" spans="1:60" x14ac:dyDescent="0.35">
      <c r="A131">
        <v>36</v>
      </c>
      <c r="B131" t="str" cm="1">
        <f t="array" ref="B131">_xlfn.IFS(A131&lt;=25,"18-25",A131&lt;=33,"26-33",A131&lt;=41,"34-41",A131&lt;=49,"42-49",A131&gt;49,"50 or above")</f>
        <v>34-41</v>
      </c>
      <c r="C131" t="s">
        <v>62</v>
      </c>
      <c r="D131" t="s">
        <v>119</v>
      </c>
      <c r="E131" t="s">
        <v>86</v>
      </c>
      <c r="F131" t="s">
        <v>90</v>
      </c>
      <c r="G131" t="s">
        <v>66</v>
      </c>
      <c r="H131" t="s">
        <v>88</v>
      </c>
      <c r="I131">
        <v>0</v>
      </c>
      <c r="Z131" t="str">
        <f>_xlfn.TEXTJOIN(",",TRUE,Table1[[#This Row],[Col5]],Table1[[#This Row],[Col4]],Table1[[#This Row],[Col3]],Table1[[#This Row],[Col2]],Table1[[#This Row],[Col1]])</f>
        <v/>
      </c>
      <c r="AY131" t="s">
        <v>125</v>
      </c>
      <c r="AZ131" t="s">
        <v>125</v>
      </c>
      <c r="BA131" t="s">
        <v>88</v>
      </c>
      <c r="BB131" t="s">
        <v>78</v>
      </c>
      <c r="BC131" t="s">
        <v>80</v>
      </c>
      <c r="BD131" t="s">
        <v>81</v>
      </c>
      <c r="BE131" t="s">
        <v>78</v>
      </c>
      <c r="BF131" t="s">
        <v>81</v>
      </c>
      <c r="BG131" t="s">
        <v>78</v>
      </c>
      <c r="BH131" t="s">
        <v>78</v>
      </c>
    </row>
    <row r="132" spans="1:60" x14ac:dyDescent="0.35">
      <c r="A132">
        <v>45</v>
      </c>
      <c r="B132" t="str" cm="1">
        <f t="array" ref="B132">_xlfn.IFS(A132&lt;=25,"18-25",A132&lt;=33,"26-33",A132&lt;=41,"34-41",A132&lt;=49,"42-49",A132&gt;49,"50 or above")</f>
        <v>42-49</v>
      </c>
      <c r="C132" t="s">
        <v>89</v>
      </c>
      <c r="D132" t="s">
        <v>105</v>
      </c>
      <c r="E132" t="s">
        <v>121</v>
      </c>
      <c r="F132" t="s">
        <v>65</v>
      </c>
      <c r="G132" t="s">
        <v>66</v>
      </c>
      <c r="H132" t="s">
        <v>66</v>
      </c>
      <c r="I132">
        <v>1</v>
      </c>
      <c r="J132" t="s">
        <v>67</v>
      </c>
      <c r="K132" t="s">
        <v>68</v>
      </c>
      <c r="L132" t="s">
        <v>69</v>
      </c>
      <c r="P132" t="s">
        <v>67</v>
      </c>
      <c r="Q132" t="s">
        <v>70</v>
      </c>
      <c r="R132" t="s">
        <v>94</v>
      </c>
      <c r="S132" t="s">
        <v>107</v>
      </c>
      <c r="T132" t="s">
        <v>99</v>
      </c>
      <c r="U132" t="s">
        <v>74</v>
      </c>
      <c r="Z132" t="str">
        <f>_xlfn.TEXTJOIN(",",TRUE,Table1[[#This Row],[Col5]],Table1[[#This Row],[Col4]],Table1[[#This Row],[Col3]],Table1[[#This Row],[Col2]],Table1[[#This Row],[Col1]])</f>
        <v>Groceries</v>
      </c>
      <c r="AA132" t="s">
        <v>81</v>
      </c>
      <c r="AB132" t="s">
        <v>81</v>
      </c>
      <c r="AC132" t="s">
        <v>81</v>
      </c>
      <c r="AD132" t="s">
        <v>81</v>
      </c>
      <c r="AE132" t="s">
        <v>81</v>
      </c>
      <c r="AF132" t="s">
        <v>81</v>
      </c>
      <c r="AG132" t="s">
        <v>81</v>
      </c>
      <c r="AH132" t="s">
        <v>81</v>
      </c>
      <c r="AI132" t="s">
        <v>81</v>
      </c>
      <c r="AJ132" t="s">
        <v>81</v>
      </c>
      <c r="AK132">
        <v>3</v>
      </c>
      <c r="AL132">
        <v>4</v>
      </c>
      <c r="AM132">
        <v>4</v>
      </c>
      <c r="AN132" t="s">
        <v>104</v>
      </c>
    </row>
    <row r="133" spans="1:60" x14ac:dyDescent="0.35">
      <c r="A133">
        <v>34</v>
      </c>
      <c r="B133" t="str" cm="1">
        <f t="array" ref="B133">_xlfn.IFS(A133&lt;=25,"18-25",A133&lt;=33,"26-33",A133&lt;=41,"34-41",A133&lt;=49,"42-49",A133&gt;49,"50 or above")</f>
        <v>34-41</v>
      </c>
      <c r="C133" t="s">
        <v>89</v>
      </c>
      <c r="D133" t="s">
        <v>116</v>
      </c>
      <c r="E133" t="s">
        <v>86</v>
      </c>
      <c r="F133" t="s">
        <v>65</v>
      </c>
      <c r="G133" t="s">
        <v>66</v>
      </c>
      <c r="H133" t="s">
        <v>66</v>
      </c>
      <c r="I133">
        <v>1</v>
      </c>
      <c r="J133" t="s">
        <v>67</v>
      </c>
      <c r="K133" t="s">
        <v>68</v>
      </c>
      <c r="L133" t="s">
        <v>69</v>
      </c>
      <c r="P133" t="s">
        <v>91</v>
      </c>
      <c r="Q133" t="s">
        <v>117</v>
      </c>
      <c r="R133" t="s">
        <v>94</v>
      </c>
      <c r="S133" t="s">
        <v>72</v>
      </c>
      <c r="T133" t="s">
        <v>73</v>
      </c>
      <c r="V133" t="s">
        <v>96</v>
      </c>
      <c r="Z133" t="str">
        <f>_xlfn.TEXTJOIN(",",TRUE,Table1[[#This Row],[Col5]],Table1[[#This Row],[Col4]],Table1[[#This Row],[Col3]],Table1[[#This Row],[Col2]],Table1[[#This Row],[Col1]])</f>
        <v>Snacks and Beverages</v>
      </c>
      <c r="AA133" t="s">
        <v>81</v>
      </c>
      <c r="AB133" t="s">
        <v>81</v>
      </c>
      <c r="AC133" t="s">
        <v>81</v>
      </c>
      <c r="AD133" t="s">
        <v>81</v>
      </c>
      <c r="AE133" t="s">
        <v>81</v>
      </c>
      <c r="AF133" t="s">
        <v>81</v>
      </c>
      <c r="AG133" t="s">
        <v>81</v>
      </c>
      <c r="AH133" t="s">
        <v>81</v>
      </c>
      <c r="AI133" t="s">
        <v>81</v>
      </c>
      <c r="AJ133" t="s">
        <v>81</v>
      </c>
      <c r="AK133">
        <v>3</v>
      </c>
      <c r="AL133">
        <v>3</v>
      </c>
      <c r="AM133">
        <v>3</v>
      </c>
      <c r="AN133" t="s">
        <v>82</v>
      </c>
    </row>
    <row r="134" spans="1:60" x14ac:dyDescent="0.35">
      <c r="A134">
        <v>40</v>
      </c>
      <c r="B134" t="str" cm="1">
        <f t="array" ref="B134">_xlfn.IFS(A134&lt;=25,"18-25",A134&lt;=33,"26-33",A134&lt;=41,"34-41",A134&lt;=49,"42-49",A134&gt;49,"50 or above")</f>
        <v>34-41</v>
      </c>
      <c r="C134" t="s">
        <v>89</v>
      </c>
      <c r="D134" t="s">
        <v>63</v>
      </c>
      <c r="E134" t="s">
        <v>121</v>
      </c>
      <c r="F134" t="s">
        <v>65</v>
      </c>
      <c r="G134" t="s">
        <v>66</v>
      </c>
      <c r="H134" t="s">
        <v>66</v>
      </c>
      <c r="I134">
        <v>1</v>
      </c>
      <c r="J134" t="s">
        <v>67</v>
      </c>
      <c r="K134" t="s">
        <v>68</v>
      </c>
      <c r="L134" t="s">
        <v>69</v>
      </c>
      <c r="P134" t="s">
        <v>67</v>
      </c>
      <c r="Q134" t="s">
        <v>103</v>
      </c>
      <c r="R134" t="s">
        <v>94</v>
      </c>
      <c r="S134" t="s">
        <v>72</v>
      </c>
      <c r="T134" t="s">
        <v>99</v>
      </c>
      <c r="U134" t="s">
        <v>74</v>
      </c>
      <c r="Z134" t="str">
        <f>_xlfn.TEXTJOIN(",",TRUE,Table1[[#This Row],[Col5]],Table1[[#This Row],[Col4]],Table1[[#This Row],[Col3]],Table1[[#This Row],[Col2]],Table1[[#This Row],[Col1]])</f>
        <v>Groceries</v>
      </c>
      <c r="AA134" t="s">
        <v>81</v>
      </c>
      <c r="AB134" t="s">
        <v>81</v>
      </c>
      <c r="AC134" t="s">
        <v>81</v>
      </c>
      <c r="AD134" t="s">
        <v>81</v>
      </c>
      <c r="AE134" t="s">
        <v>81</v>
      </c>
      <c r="AF134" t="s">
        <v>81</v>
      </c>
      <c r="AG134" t="s">
        <v>81</v>
      </c>
      <c r="AH134" t="s">
        <v>81</v>
      </c>
      <c r="AI134" t="s">
        <v>81</v>
      </c>
      <c r="AJ134" t="s">
        <v>81</v>
      </c>
      <c r="AK134">
        <v>4</v>
      </c>
      <c r="AL134">
        <v>3</v>
      </c>
      <c r="AM134">
        <v>4</v>
      </c>
      <c r="AN134" t="s">
        <v>104</v>
      </c>
    </row>
    <row r="135" spans="1:60" x14ac:dyDescent="0.35">
      <c r="A135">
        <v>56</v>
      </c>
      <c r="B135" t="str" cm="1">
        <f t="array" ref="B135">_xlfn.IFS(A135&lt;=25,"18-25",A135&lt;=33,"26-33",A135&lt;=41,"34-41",A135&lt;=49,"42-49",A135&gt;49,"50 or above")</f>
        <v>50 or above</v>
      </c>
      <c r="C135" t="s">
        <v>89</v>
      </c>
      <c r="D135" t="s">
        <v>63</v>
      </c>
      <c r="E135" t="s">
        <v>121</v>
      </c>
      <c r="F135" t="s">
        <v>65</v>
      </c>
      <c r="G135" t="s">
        <v>66</v>
      </c>
      <c r="H135" t="s">
        <v>66</v>
      </c>
      <c r="I135">
        <v>1</v>
      </c>
      <c r="J135" t="s">
        <v>67</v>
      </c>
      <c r="K135" t="s">
        <v>68</v>
      </c>
      <c r="P135" t="s">
        <v>67</v>
      </c>
      <c r="Q135" t="s">
        <v>98</v>
      </c>
      <c r="R135" t="s">
        <v>94</v>
      </c>
      <c r="S135" t="s">
        <v>72</v>
      </c>
      <c r="T135" t="s">
        <v>73</v>
      </c>
      <c r="U135" t="s">
        <v>74</v>
      </c>
      <c r="V135" t="s">
        <v>75</v>
      </c>
      <c r="X135" t="s">
        <v>77</v>
      </c>
      <c r="Z135" t="str">
        <f>_xlfn.TEXTJOIN(",",TRUE,Table1[[#This Row],[Col5]],Table1[[#This Row],[Col4]],Table1[[#This Row],[Col3]],Table1[[#This Row],[Col2]],Table1[[#This Row],[Col1]])</f>
        <v xml:space="preserve"> Personal Care, Snacks and Beverages,Groceries</v>
      </c>
      <c r="AA135" t="s">
        <v>80</v>
      </c>
      <c r="AB135" t="s">
        <v>81</v>
      </c>
      <c r="AC135" t="s">
        <v>81</v>
      </c>
      <c r="AD135" t="s">
        <v>80</v>
      </c>
      <c r="AE135" t="s">
        <v>81</v>
      </c>
      <c r="AF135" t="s">
        <v>80</v>
      </c>
      <c r="AG135" t="s">
        <v>80</v>
      </c>
      <c r="AH135" t="s">
        <v>80</v>
      </c>
      <c r="AI135" t="s">
        <v>81</v>
      </c>
      <c r="AJ135" t="s">
        <v>80</v>
      </c>
      <c r="AK135">
        <v>4</v>
      </c>
      <c r="AL135">
        <v>3</v>
      </c>
      <c r="AM135">
        <v>3</v>
      </c>
      <c r="AN135" t="s">
        <v>82</v>
      </c>
    </row>
    <row r="136" spans="1:60" x14ac:dyDescent="0.35">
      <c r="A136">
        <v>35</v>
      </c>
      <c r="B136" t="str" cm="1">
        <f t="array" ref="B136">_xlfn.IFS(A136&lt;=25,"18-25",A136&lt;=33,"26-33",A136&lt;=41,"34-41",A136&lt;=49,"42-49",A136&gt;49,"50 or above")</f>
        <v>34-41</v>
      </c>
      <c r="C136" t="s">
        <v>89</v>
      </c>
      <c r="D136" t="s">
        <v>105</v>
      </c>
      <c r="E136" t="s">
        <v>109</v>
      </c>
      <c r="F136" t="s">
        <v>65</v>
      </c>
      <c r="G136" t="s">
        <v>66</v>
      </c>
      <c r="H136" t="s">
        <v>66</v>
      </c>
      <c r="I136">
        <v>1</v>
      </c>
      <c r="J136" t="s">
        <v>67</v>
      </c>
      <c r="K136" t="s">
        <v>68</v>
      </c>
      <c r="P136" t="s">
        <v>67</v>
      </c>
      <c r="Q136" t="s">
        <v>98</v>
      </c>
      <c r="R136" t="s">
        <v>94</v>
      </c>
      <c r="S136" t="s">
        <v>72</v>
      </c>
      <c r="T136" t="s">
        <v>99</v>
      </c>
      <c r="U136" t="s">
        <v>74</v>
      </c>
      <c r="V136" t="s">
        <v>75</v>
      </c>
      <c r="W136" t="s">
        <v>76</v>
      </c>
      <c r="Z136" t="str">
        <f>_xlfn.TEXTJOIN(",",TRUE,Table1[[#This Row],[Col5]],Table1[[#This Row],[Col4]],Table1[[#This Row],[Col3]],Table1[[#This Row],[Col2]],Table1[[#This Row],[Col1]])</f>
        <v xml:space="preserve"> Daily Essentials, Snacks and Beverages,Groceries</v>
      </c>
      <c r="AA136" t="s">
        <v>80</v>
      </c>
      <c r="AB136" t="s">
        <v>81</v>
      </c>
      <c r="AC136" t="s">
        <v>80</v>
      </c>
      <c r="AD136" t="s">
        <v>80</v>
      </c>
      <c r="AE136" t="s">
        <v>80</v>
      </c>
      <c r="AF136" t="s">
        <v>80</v>
      </c>
      <c r="AG136" t="s">
        <v>80</v>
      </c>
      <c r="AH136" t="s">
        <v>80</v>
      </c>
      <c r="AI136" t="s">
        <v>80</v>
      </c>
      <c r="AJ136" t="s">
        <v>80</v>
      </c>
      <c r="AK136">
        <v>3</v>
      </c>
      <c r="AL136">
        <v>3</v>
      </c>
      <c r="AM136">
        <v>3</v>
      </c>
      <c r="AN136" t="s">
        <v>115</v>
      </c>
    </row>
    <row r="137" spans="1:60" x14ac:dyDescent="0.35">
      <c r="A137">
        <v>28</v>
      </c>
      <c r="B137" t="str" cm="1">
        <f t="array" ref="B137">_xlfn.IFS(A137&lt;=25,"18-25",A137&lt;=33,"26-33",A137&lt;=41,"34-41",A137&lt;=49,"42-49",A137&gt;49,"50 or above")</f>
        <v>26-33</v>
      </c>
      <c r="C137" t="s">
        <v>89</v>
      </c>
      <c r="D137" t="s">
        <v>116</v>
      </c>
      <c r="E137" t="s">
        <v>86</v>
      </c>
      <c r="F137" t="s">
        <v>65</v>
      </c>
      <c r="G137" t="s">
        <v>66</v>
      </c>
      <c r="H137" t="s">
        <v>66</v>
      </c>
      <c r="I137">
        <v>1</v>
      </c>
      <c r="J137" t="s">
        <v>67</v>
      </c>
      <c r="K137" t="s">
        <v>68</v>
      </c>
      <c r="L137" t="s">
        <v>69</v>
      </c>
      <c r="P137" t="s">
        <v>67</v>
      </c>
      <c r="Q137" t="s">
        <v>70</v>
      </c>
      <c r="R137" t="s">
        <v>92</v>
      </c>
      <c r="S137" t="s">
        <v>95</v>
      </c>
      <c r="T137" t="s">
        <v>73</v>
      </c>
      <c r="U137" t="s">
        <v>74</v>
      </c>
      <c r="V137" t="s">
        <v>75</v>
      </c>
      <c r="W137" t="s">
        <v>76</v>
      </c>
      <c r="X137" t="s">
        <v>77</v>
      </c>
      <c r="Y137" t="s">
        <v>108</v>
      </c>
      <c r="Z137" t="str">
        <f>_xlfn.TEXTJOIN(",",TRUE,Table1[[#This Row],[Col5]],Table1[[#This Row],[Col4]],Table1[[#This Row],[Col3]],Table1[[#This Row],[Col2]],Table1[[#This Row],[Col1]])</f>
        <v xml:space="preserve"> Medicines, Personal Care, Daily Essentials, Snacks and Beverages,Groceries</v>
      </c>
      <c r="AA137" t="s">
        <v>80</v>
      </c>
      <c r="AB137" t="s">
        <v>80</v>
      </c>
      <c r="AC137" t="s">
        <v>80</v>
      </c>
      <c r="AD137" t="s">
        <v>80</v>
      </c>
      <c r="AE137" t="s">
        <v>80</v>
      </c>
      <c r="AF137" t="s">
        <v>80</v>
      </c>
      <c r="AG137" t="s">
        <v>80</v>
      </c>
      <c r="AH137" t="s">
        <v>80</v>
      </c>
      <c r="AI137" t="s">
        <v>80</v>
      </c>
      <c r="AJ137" t="s">
        <v>80</v>
      </c>
      <c r="AK137">
        <v>4</v>
      </c>
      <c r="AL137">
        <v>3</v>
      </c>
      <c r="AM137">
        <v>4</v>
      </c>
      <c r="AN137" t="s">
        <v>82</v>
      </c>
    </row>
    <row r="138" spans="1:60" x14ac:dyDescent="0.35">
      <c r="A138">
        <v>40</v>
      </c>
      <c r="B138" t="str" cm="1">
        <f t="array" ref="B138">_xlfn.IFS(A138&lt;=25,"18-25",A138&lt;=33,"26-33",A138&lt;=41,"34-41",A138&lt;=49,"42-49",A138&gt;49,"50 or above")</f>
        <v>34-41</v>
      </c>
      <c r="C138" t="s">
        <v>89</v>
      </c>
      <c r="D138" t="s">
        <v>119</v>
      </c>
      <c r="E138" t="s">
        <v>121</v>
      </c>
      <c r="F138" t="s">
        <v>65</v>
      </c>
      <c r="G138" t="s">
        <v>66</v>
      </c>
      <c r="H138" t="s">
        <v>66</v>
      </c>
      <c r="I138">
        <v>1</v>
      </c>
      <c r="J138" t="s">
        <v>67</v>
      </c>
      <c r="K138" t="s">
        <v>68</v>
      </c>
      <c r="L138" t="s">
        <v>69</v>
      </c>
      <c r="P138" t="s">
        <v>93</v>
      </c>
      <c r="Q138" t="s">
        <v>117</v>
      </c>
      <c r="R138" t="s">
        <v>94</v>
      </c>
      <c r="S138" t="s">
        <v>107</v>
      </c>
      <c r="T138" t="s">
        <v>99</v>
      </c>
      <c r="U138" t="s">
        <v>74</v>
      </c>
      <c r="Z138" t="str">
        <f>_xlfn.TEXTJOIN(",",TRUE,Table1[[#This Row],[Col5]],Table1[[#This Row],[Col4]],Table1[[#This Row],[Col3]],Table1[[#This Row],[Col2]],Table1[[#This Row],[Col1]])</f>
        <v>Groceries</v>
      </c>
      <c r="AA138" t="s">
        <v>81</v>
      </c>
      <c r="AB138" t="s">
        <v>81</v>
      </c>
      <c r="AC138" t="s">
        <v>81</v>
      </c>
      <c r="AD138" t="s">
        <v>80</v>
      </c>
      <c r="AE138" t="s">
        <v>80</v>
      </c>
      <c r="AF138" t="s">
        <v>80</v>
      </c>
      <c r="AG138" t="s">
        <v>80</v>
      </c>
      <c r="AH138" t="s">
        <v>80</v>
      </c>
      <c r="AI138" t="s">
        <v>80</v>
      </c>
      <c r="AJ138" t="s">
        <v>80</v>
      </c>
      <c r="AK138">
        <v>4</v>
      </c>
      <c r="AL138">
        <v>4</v>
      </c>
      <c r="AM138">
        <v>3</v>
      </c>
      <c r="AN138" t="s">
        <v>115</v>
      </c>
    </row>
    <row r="139" spans="1:60" x14ac:dyDescent="0.35">
      <c r="A139">
        <v>40</v>
      </c>
      <c r="B139" t="str" cm="1">
        <f t="array" ref="B139">_xlfn.IFS(A139&lt;=25,"18-25",A139&lt;=33,"26-33",A139&lt;=41,"34-41",A139&lt;=49,"42-49",A139&gt;49,"50 or above")</f>
        <v>34-41</v>
      </c>
      <c r="C139" t="s">
        <v>89</v>
      </c>
      <c r="D139" t="s">
        <v>63</v>
      </c>
      <c r="E139" t="s">
        <v>121</v>
      </c>
      <c r="F139" t="s">
        <v>102</v>
      </c>
      <c r="G139" t="s">
        <v>66</v>
      </c>
      <c r="H139" t="s">
        <v>66</v>
      </c>
      <c r="I139">
        <v>1</v>
      </c>
      <c r="J139" t="s">
        <v>67</v>
      </c>
      <c r="K139" t="s">
        <v>68</v>
      </c>
      <c r="L139" t="s">
        <v>69</v>
      </c>
      <c r="P139" t="s">
        <v>67</v>
      </c>
      <c r="Q139" t="s">
        <v>103</v>
      </c>
      <c r="R139" t="s">
        <v>94</v>
      </c>
      <c r="S139" t="s">
        <v>107</v>
      </c>
      <c r="T139" t="s">
        <v>73</v>
      </c>
      <c r="U139" t="s">
        <v>74</v>
      </c>
      <c r="Z139" t="str">
        <f>_xlfn.TEXTJOIN(",",TRUE,Table1[[#This Row],[Col5]],Table1[[#This Row],[Col4]],Table1[[#This Row],[Col3]],Table1[[#This Row],[Col2]],Table1[[#This Row],[Col1]])</f>
        <v>Groceries</v>
      </c>
      <c r="AA139" t="s">
        <v>79</v>
      </c>
      <c r="AB139" t="s">
        <v>81</v>
      </c>
      <c r="AC139" t="s">
        <v>80</v>
      </c>
      <c r="AD139" t="s">
        <v>81</v>
      </c>
      <c r="AE139" t="s">
        <v>81</v>
      </c>
      <c r="AF139" t="s">
        <v>79</v>
      </c>
      <c r="AG139" t="s">
        <v>79</v>
      </c>
      <c r="AH139" t="s">
        <v>79</v>
      </c>
      <c r="AI139" t="s">
        <v>79</v>
      </c>
      <c r="AJ139" t="s">
        <v>79</v>
      </c>
      <c r="AK139">
        <v>2</v>
      </c>
      <c r="AL139">
        <v>3</v>
      </c>
      <c r="AM139">
        <v>2</v>
      </c>
      <c r="AN139" t="s">
        <v>104</v>
      </c>
    </row>
    <row r="140" spans="1:60" x14ac:dyDescent="0.35">
      <c r="A140">
        <v>28</v>
      </c>
      <c r="B140" t="str" cm="1">
        <f t="array" ref="B140">_xlfn.IFS(A140&lt;=25,"18-25",A140&lt;=33,"26-33",A140&lt;=41,"34-41",A140&lt;=49,"42-49",A140&gt;49,"50 or above")</f>
        <v>26-33</v>
      </c>
      <c r="C140" t="s">
        <v>89</v>
      </c>
      <c r="D140" t="s">
        <v>63</v>
      </c>
      <c r="E140" t="s">
        <v>121</v>
      </c>
      <c r="F140" t="s">
        <v>87</v>
      </c>
      <c r="G140" t="s">
        <v>66</v>
      </c>
      <c r="H140" t="s">
        <v>66</v>
      </c>
      <c r="I140">
        <v>1</v>
      </c>
      <c r="J140" t="s">
        <v>67</v>
      </c>
      <c r="K140" t="s">
        <v>68</v>
      </c>
      <c r="L140" t="s">
        <v>69</v>
      </c>
      <c r="P140" t="s">
        <v>67</v>
      </c>
      <c r="Q140" t="s">
        <v>98</v>
      </c>
      <c r="R140" t="s">
        <v>94</v>
      </c>
      <c r="S140" t="s">
        <v>72</v>
      </c>
      <c r="T140" t="s">
        <v>73</v>
      </c>
      <c r="U140" t="s">
        <v>74</v>
      </c>
      <c r="Z140" t="str">
        <f>_xlfn.TEXTJOIN(",",TRUE,Table1[[#This Row],[Col5]],Table1[[#This Row],[Col4]],Table1[[#This Row],[Col3]],Table1[[#This Row],[Col2]],Table1[[#This Row],[Col1]])</f>
        <v>Groceries</v>
      </c>
      <c r="AA140" t="s">
        <v>81</v>
      </c>
      <c r="AB140" t="s">
        <v>81</v>
      </c>
      <c r="AC140" t="s">
        <v>81</v>
      </c>
      <c r="AD140" t="s">
        <v>81</v>
      </c>
      <c r="AE140" t="s">
        <v>79</v>
      </c>
      <c r="AF140" t="s">
        <v>81</v>
      </c>
      <c r="AG140" t="s">
        <v>81</v>
      </c>
      <c r="AH140" t="s">
        <v>81</v>
      </c>
      <c r="AI140" t="s">
        <v>79</v>
      </c>
      <c r="AJ140" t="s">
        <v>79</v>
      </c>
      <c r="AK140">
        <v>4</v>
      </c>
      <c r="AL140">
        <v>3</v>
      </c>
      <c r="AM140">
        <v>3</v>
      </c>
      <c r="AN140" t="s">
        <v>115</v>
      </c>
    </row>
    <row r="141" spans="1:60" x14ac:dyDescent="0.35">
      <c r="A141">
        <v>25</v>
      </c>
      <c r="B141" t="str" cm="1">
        <f t="array" ref="B141">_xlfn.IFS(A141&lt;=25,"18-25",A141&lt;=33,"26-33",A141&lt;=41,"34-41",A141&lt;=49,"42-49",A141&gt;49,"50 or above")</f>
        <v>18-25</v>
      </c>
      <c r="C141" t="s">
        <v>89</v>
      </c>
      <c r="D141" t="s">
        <v>105</v>
      </c>
      <c r="E141" t="s">
        <v>64</v>
      </c>
      <c r="F141" t="s">
        <v>87</v>
      </c>
      <c r="G141" t="s">
        <v>66</v>
      </c>
      <c r="H141" t="s">
        <v>66</v>
      </c>
      <c r="I141">
        <v>1</v>
      </c>
      <c r="J141" t="s">
        <v>67</v>
      </c>
      <c r="P141" t="s">
        <v>67</v>
      </c>
      <c r="Q141" t="s">
        <v>98</v>
      </c>
      <c r="R141" t="s">
        <v>94</v>
      </c>
      <c r="S141" t="s">
        <v>95</v>
      </c>
      <c r="T141" t="s">
        <v>99</v>
      </c>
      <c r="U141" t="s">
        <v>74</v>
      </c>
      <c r="V141" t="s">
        <v>75</v>
      </c>
      <c r="W141" t="s">
        <v>76</v>
      </c>
      <c r="X141" t="s">
        <v>77</v>
      </c>
      <c r="Y141" t="s">
        <v>108</v>
      </c>
      <c r="Z141" t="str">
        <f>_xlfn.TEXTJOIN(",",TRUE,Table1[[#This Row],[Col5]],Table1[[#This Row],[Col4]],Table1[[#This Row],[Col3]],Table1[[#This Row],[Col2]],Table1[[#This Row],[Col1]])</f>
        <v xml:space="preserve"> Medicines, Personal Care, Daily Essentials, Snacks and Beverages,Groceries</v>
      </c>
      <c r="AA141" t="s">
        <v>81</v>
      </c>
      <c r="AB141" t="s">
        <v>80</v>
      </c>
      <c r="AC141" t="s">
        <v>80</v>
      </c>
      <c r="AD141" t="s">
        <v>80</v>
      </c>
      <c r="AE141" t="s">
        <v>80</v>
      </c>
      <c r="AF141" t="s">
        <v>80</v>
      </c>
      <c r="AG141" t="s">
        <v>81</v>
      </c>
      <c r="AH141" t="s">
        <v>81</v>
      </c>
      <c r="AI141" t="s">
        <v>81</v>
      </c>
      <c r="AJ141" t="s">
        <v>81</v>
      </c>
      <c r="AK141">
        <v>4</v>
      </c>
      <c r="AL141">
        <v>3</v>
      </c>
      <c r="AM141">
        <v>4</v>
      </c>
      <c r="AN141" t="s">
        <v>133</v>
      </c>
    </row>
    <row r="142" spans="1:60" x14ac:dyDescent="0.35">
      <c r="A142">
        <v>30</v>
      </c>
      <c r="B142" t="str" cm="1">
        <f t="array" ref="B142">_xlfn.IFS(A142&lt;=25,"18-25",A142&lt;=33,"26-33",A142&lt;=41,"34-41",A142&lt;=49,"42-49",A142&gt;49,"50 or above")</f>
        <v>26-33</v>
      </c>
      <c r="C142" t="s">
        <v>89</v>
      </c>
      <c r="D142" t="s">
        <v>105</v>
      </c>
      <c r="E142" t="s">
        <v>109</v>
      </c>
      <c r="F142" t="s">
        <v>102</v>
      </c>
      <c r="G142" t="s">
        <v>66</v>
      </c>
      <c r="H142" t="s">
        <v>66</v>
      </c>
      <c r="I142">
        <v>1</v>
      </c>
      <c r="K142" t="s">
        <v>93</v>
      </c>
      <c r="P142" t="s">
        <v>93</v>
      </c>
      <c r="Q142" t="s">
        <v>98</v>
      </c>
      <c r="R142" t="s">
        <v>94</v>
      </c>
      <c r="S142" t="s">
        <v>95</v>
      </c>
      <c r="T142" t="s">
        <v>99</v>
      </c>
      <c r="V142" t="s">
        <v>96</v>
      </c>
      <c r="W142" t="s">
        <v>76</v>
      </c>
      <c r="X142" t="s">
        <v>77</v>
      </c>
      <c r="Z142" t="str">
        <f>_xlfn.TEXTJOIN(",",TRUE,Table1[[#This Row],[Col5]],Table1[[#This Row],[Col4]],Table1[[#This Row],[Col3]],Table1[[#This Row],[Col2]],Table1[[#This Row],[Col1]])</f>
        <v xml:space="preserve"> Personal Care, Daily Essentials,Snacks and Beverages</v>
      </c>
      <c r="AA142" t="s">
        <v>79</v>
      </c>
      <c r="AB142" t="s">
        <v>81</v>
      </c>
      <c r="AC142" t="s">
        <v>81</v>
      </c>
      <c r="AD142" t="s">
        <v>80</v>
      </c>
      <c r="AE142" t="s">
        <v>80</v>
      </c>
      <c r="AF142" t="s">
        <v>81</v>
      </c>
      <c r="AG142" t="s">
        <v>81</v>
      </c>
      <c r="AH142" t="s">
        <v>80</v>
      </c>
      <c r="AI142" t="s">
        <v>80</v>
      </c>
      <c r="AJ142" t="s">
        <v>81</v>
      </c>
      <c r="AK142">
        <v>4</v>
      </c>
      <c r="AL142">
        <v>3</v>
      </c>
      <c r="AM142">
        <v>4</v>
      </c>
      <c r="AN142" t="s">
        <v>133</v>
      </c>
    </row>
    <row r="143" spans="1:60" x14ac:dyDescent="0.35">
      <c r="A143">
        <v>35</v>
      </c>
      <c r="B143" t="str" cm="1">
        <f t="array" ref="B143">_xlfn.IFS(A143&lt;=25,"18-25",A143&lt;=33,"26-33",A143&lt;=41,"34-41",A143&lt;=49,"42-49",A143&gt;49,"50 or above")</f>
        <v>34-41</v>
      </c>
      <c r="C143" t="s">
        <v>89</v>
      </c>
      <c r="D143" t="s">
        <v>116</v>
      </c>
      <c r="E143" t="s">
        <v>86</v>
      </c>
      <c r="F143" t="s">
        <v>65</v>
      </c>
      <c r="G143" t="s">
        <v>66</v>
      </c>
      <c r="H143" t="s">
        <v>66</v>
      </c>
      <c r="I143">
        <v>1</v>
      </c>
      <c r="J143" t="s">
        <v>67</v>
      </c>
      <c r="P143" t="s">
        <v>67</v>
      </c>
      <c r="Q143" t="s">
        <v>117</v>
      </c>
      <c r="R143" t="s">
        <v>94</v>
      </c>
      <c r="S143" t="s">
        <v>95</v>
      </c>
      <c r="T143" t="s">
        <v>99</v>
      </c>
      <c r="W143" t="s">
        <v>134</v>
      </c>
      <c r="Z143" t="str">
        <f>_xlfn.TEXTJOIN(",",TRUE,Table1[[#This Row],[Col5]],Table1[[#This Row],[Col4]],Table1[[#This Row],[Col3]],Table1[[#This Row],[Col2]],Table1[[#This Row],[Col1]])</f>
        <v>Daily Essentials</v>
      </c>
      <c r="AA143" t="s">
        <v>79</v>
      </c>
      <c r="AB143" t="s">
        <v>81</v>
      </c>
      <c r="AC143" t="s">
        <v>79</v>
      </c>
      <c r="AD143" t="s">
        <v>81</v>
      </c>
      <c r="AE143" t="s">
        <v>79</v>
      </c>
      <c r="AF143" t="s">
        <v>81</v>
      </c>
      <c r="AG143" t="s">
        <v>79</v>
      </c>
      <c r="AH143" t="s">
        <v>81</v>
      </c>
      <c r="AI143" t="s">
        <v>81</v>
      </c>
      <c r="AJ143" t="s">
        <v>81</v>
      </c>
      <c r="AK143">
        <v>4</v>
      </c>
      <c r="AL143">
        <v>3</v>
      </c>
      <c r="AM143">
        <v>4</v>
      </c>
      <c r="AN143" t="s">
        <v>104</v>
      </c>
    </row>
    <row r="144" spans="1:60" x14ac:dyDescent="0.35">
      <c r="A144">
        <v>27</v>
      </c>
      <c r="B144" t="str" cm="1">
        <f t="array" ref="B144">_xlfn.IFS(A144&lt;=25,"18-25",A144&lt;=33,"26-33",A144&lt;=41,"34-41",A144&lt;=49,"42-49",A144&gt;49,"50 or above")</f>
        <v>26-33</v>
      </c>
      <c r="C144" t="s">
        <v>89</v>
      </c>
      <c r="D144" t="s">
        <v>63</v>
      </c>
      <c r="E144" t="s">
        <v>86</v>
      </c>
      <c r="F144" t="s">
        <v>102</v>
      </c>
      <c r="G144" t="s">
        <v>66</v>
      </c>
      <c r="H144" t="s">
        <v>66</v>
      </c>
      <c r="I144">
        <v>1</v>
      </c>
      <c r="J144" t="s">
        <v>67</v>
      </c>
      <c r="P144" t="s">
        <v>67</v>
      </c>
      <c r="Q144" t="s">
        <v>117</v>
      </c>
      <c r="R144" t="s">
        <v>94</v>
      </c>
      <c r="S144" t="s">
        <v>107</v>
      </c>
      <c r="T144" t="s">
        <v>73</v>
      </c>
      <c r="U144" t="s">
        <v>74</v>
      </c>
      <c r="Z144" t="str">
        <f>_xlfn.TEXTJOIN(",",TRUE,Table1[[#This Row],[Col5]],Table1[[#This Row],[Col4]],Table1[[#This Row],[Col3]],Table1[[#This Row],[Col2]],Table1[[#This Row],[Col1]])</f>
        <v>Groceries</v>
      </c>
      <c r="AA144" t="s">
        <v>81</v>
      </c>
      <c r="AB144" t="s">
        <v>81</v>
      </c>
      <c r="AC144" t="s">
        <v>81</v>
      </c>
      <c r="AD144" t="s">
        <v>81</v>
      </c>
      <c r="AE144" t="s">
        <v>81</v>
      </c>
      <c r="AF144" t="s">
        <v>79</v>
      </c>
      <c r="AG144" t="s">
        <v>81</v>
      </c>
      <c r="AH144" t="s">
        <v>81</v>
      </c>
      <c r="AI144" t="s">
        <v>81</v>
      </c>
      <c r="AJ144" t="s">
        <v>81</v>
      </c>
      <c r="AK144">
        <v>4</v>
      </c>
      <c r="AL144">
        <v>3</v>
      </c>
      <c r="AM144">
        <v>4</v>
      </c>
      <c r="AN144" t="s">
        <v>104</v>
      </c>
    </row>
    <row r="145" spans="1:40" x14ac:dyDescent="0.35">
      <c r="A145">
        <v>38</v>
      </c>
      <c r="B145" t="str" cm="1">
        <f t="array" ref="B145">_xlfn.IFS(A145&lt;=25,"18-25",A145&lt;=33,"26-33",A145&lt;=41,"34-41",A145&lt;=49,"42-49",A145&gt;49,"50 or above")</f>
        <v>34-41</v>
      </c>
      <c r="C145" t="s">
        <v>89</v>
      </c>
      <c r="D145" t="s">
        <v>105</v>
      </c>
      <c r="E145" t="s">
        <v>86</v>
      </c>
      <c r="F145" t="s">
        <v>87</v>
      </c>
      <c r="G145" t="s">
        <v>66</v>
      </c>
      <c r="H145" t="s">
        <v>66</v>
      </c>
      <c r="I145">
        <v>1</v>
      </c>
      <c r="J145" t="s">
        <v>67</v>
      </c>
      <c r="K145" t="s">
        <v>68</v>
      </c>
      <c r="P145" t="s">
        <v>93</v>
      </c>
      <c r="Q145" t="s">
        <v>117</v>
      </c>
      <c r="R145" t="s">
        <v>94</v>
      </c>
      <c r="S145" t="s">
        <v>107</v>
      </c>
      <c r="T145" t="s">
        <v>73</v>
      </c>
      <c r="U145" t="s">
        <v>74</v>
      </c>
      <c r="Z145" t="str">
        <f>_xlfn.TEXTJOIN(",",TRUE,Table1[[#This Row],[Col5]],Table1[[#This Row],[Col4]],Table1[[#This Row],[Col3]],Table1[[#This Row],[Col2]],Table1[[#This Row],[Col1]])</f>
        <v>Groceries</v>
      </c>
      <c r="AA145" t="s">
        <v>79</v>
      </c>
      <c r="AB145" t="s">
        <v>81</v>
      </c>
      <c r="AC145" t="s">
        <v>81</v>
      </c>
      <c r="AD145" t="s">
        <v>79</v>
      </c>
      <c r="AE145" t="s">
        <v>81</v>
      </c>
      <c r="AF145" t="s">
        <v>81</v>
      </c>
      <c r="AG145" t="s">
        <v>81</v>
      </c>
      <c r="AH145" t="s">
        <v>79</v>
      </c>
      <c r="AI145" t="s">
        <v>79</v>
      </c>
      <c r="AJ145" t="s">
        <v>79</v>
      </c>
      <c r="AK145">
        <v>2</v>
      </c>
      <c r="AL145">
        <v>2</v>
      </c>
      <c r="AM145">
        <v>3</v>
      </c>
      <c r="AN145" t="s">
        <v>82</v>
      </c>
    </row>
    <row r="146" spans="1:40" x14ac:dyDescent="0.35">
      <c r="A146">
        <v>39</v>
      </c>
      <c r="B146" t="str" cm="1">
        <f t="array" ref="B146">_xlfn.IFS(A146&lt;=25,"18-25",A146&lt;=33,"26-33",A146&lt;=41,"34-41",A146&lt;=49,"42-49",A146&gt;49,"50 or above")</f>
        <v>34-41</v>
      </c>
      <c r="C146" t="s">
        <v>89</v>
      </c>
      <c r="D146" t="s">
        <v>105</v>
      </c>
      <c r="E146" t="s">
        <v>86</v>
      </c>
      <c r="F146" t="s">
        <v>102</v>
      </c>
      <c r="G146" t="s">
        <v>66</v>
      </c>
      <c r="H146" t="s">
        <v>66</v>
      </c>
      <c r="I146">
        <v>1</v>
      </c>
      <c r="K146" t="s">
        <v>93</v>
      </c>
      <c r="P146" t="s">
        <v>93</v>
      </c>
      <c r="Q146" t="s">
        <v>103</v>
      </c>
      <c r="R146" t="s">
        <v>94</v>
      </c>
      <c r="S146" t="s">
        <v>107</v>
      </c>
      <c r="T146" t="s">
        <v>73</v>
      </c>
      <c r="U146" t="s">
        <v>74</v>
      </c>
      <c r="Z146" t="str">
        <f>_xlfn.TEXTJOIN(",",TRUE,Table1[[#This Row],[Col5]],Table1[[#This Row],[Col4]],Table1[[#This Row],[Col3]],Table1[[#This Row],[Col2]],Table1[[#This Row],[Col1]])</f>
        <v>Groceries</v>
      </c>
      <c r="AA146" t="s">
        <v>81</v>
      </c>
      <c r="AB146" t="s">
        <v>81</v>
      </c>
      <c r="AC146" t="s">
        <v>81</v>
      </c>
      <c r="AD146" t="s">
        <v>81</v>
      </c>
      <c r="AE146" t="s">
        <v>80</v>
      </c>
      <c r="AF146" t="s">
        <v>80</v>
      </c>
      <c r="AG146" t="s">
        <v>80</v>
      </c>
      <c r="AH146" t="s">
        <v>81</v>
      </c>
      <c r="AI146" t="s">
        <v>81</v>
      </c>
      <c r="AJ146" t="s">
        <v>80</v>
      </c>
      <c r="AK146">
        <v>4</v>
      </c>
      <c r="AL146">
        <v>3</v>
      </c>
      <c r="AM146">
        <v>3</v>
      </c>
      <c r="AN146" t="s">
        <v>97</v>
      </c>
    </row>
    <row r="147" spans="1:40" x14ac:dyDescent="0.35">
      <c r="A147">
        <v>43</v>
      </c>
      <c r="B147" t="str" cm="1">
        <f t="array" ref="B147">_xlfn.IFS(A147&lt;=25,"18-25",A147&lt;=33,"26-33",A147&lt;=41,"34-41",A147&lt;=49,"42-49",A147&gt;49,"50 or above")</f>
        <v>42-49</v>
      </c>
      <c r="C147" t="s">
        <v>89</v>
      </c>
      <c r="D147" t="s">
        <v>105</v>
      </c>
      <c r="E147" t="s">
        <v>109</v>
      </c>
      <c r="F147" t="s">
        <v>65</v>
      </c>
      <c r="G147" t="s">
        <v>66</v>
      </c>
      <c r="H147" t="s">
        <v>66</v>
      </c>
      <c r="I147">
        <v>1</v>
      </c>
      <c r="J147" t="s">
        <v>67</v>
      </c>
      <c r="P147" t="s">
        <v>67</v>
      </c>
      <c r="Q147" t="s">
        <v>117</v>
      </c>
      <c r="R147" t="s">
        <v>94</v>
      </c>
      <c r="S147" t="s">
        <v>107</v>
      </c>
      <c r="T147" t="s">
        <v>73</v>
      </c>
      <c r="U147" t="s">
        <v>74</v>
      </c>
      <c r="Z147" t="str">
        <f>_xlfn.TEXTJOIN(",",TRUE,Table1[[#This Row],[Col5]],Table1[[#This Row],[Col4]],Table1[[#This Row],[Col3]],Table1[[#This Row],[Col2]],Table1[[#This Row],[Col1]])</f>
        <v>Groceries</v>
      </c>
      <c r="AA147" t="s">
        <v>81</v>
      </c>
      <c r="AB147" t="s">
        <v>81</v>
      </c>
      <c r="AC147" t="s">
        <v>80</v>
      </c>
      <c r="AD147" t="s">
        <v>80</v>
      </c>
      <c r="AE147" t="s">
        <v>80</v>
      </c>
      <c r="AF147" t="s">
        <v>81</v>
      </c>
      <c r="AG147" t="s">
        <v>80</v>
      </c>
      <c r="AH147" t="s">
        <v>80</v>
      </c>
      <c r="AI147" t="s">
        <v>80</v>
      </c>
      <c r="AJ147" t="s">
        <v>80</v>
      </c>
      <c r="AK147">
        <v>3</v>
      </c>
      <c r="AL147">
        <v>4</v>
      </c>
      <c r="AM147">
        <v>3</v>
      </c>
      <c r="AN147" t="s">
        <v>115</v>
      </c>
    </row>
    <row r="148" spans="1:40" x14ac:dyDescent="0.35">
      <c r="A148">
        <v>34</v>
      </c>
      <c r="B148" t="str" cm="1">
        <f t="array" ref="B148">_xlfn.IFS(A148&lt;=25,"18-25",A148&lt;=33,"26-33",A148&lt;=41,"34-41",A148&lt;=49,"42-49",A148&gt;49,"50 or above")</f>
        <v>34-41</v>
      </c>
      <c r="C148" t="s">
        <v>89</v>
      </c>
      <c r="D148" t="s">
        <v>116</v>
      </c>
      <c r="E148" t="s">
        <v>121</v>
      </c>
      <c r="F148" t="s">
        <v>65</v>
      </c>
      <c r="G148" t="s">
        <v>66</v>
      </c>
      <c r="H148" t="s">
        <v>66</v>
      </c>
      <c r="I148">
        <v>1</v>
      </c>
      <c r="J148" t="s">
        <v>67</v>
      </c>
      <c r="P148" t="s">
        <v>67</v>
      </c>
      <c r="Q148" t="s">
        <v>70</v>
      </c>
      <c r="R148" t="s">
        <v>94</v>
      </c>
      <c r="S148" t="s">
        <v>107</v>
      </c>
      <c r="T148" t="s">
        <v>73</v>
      </c>
      <c r="U148" t="s">
        <v>74</v>
      </c>
      <c r="Z148" t="str">
        <f>_xlfn.TEXTJOIN(",",TRUE,Table1[[#This Row],[Col5]],Table1[[#This Row],[Col4]],Table1[[#This Row],[Col3]],Table1[[#This Row],[Col2]],Table1[[#This Row],[Col1]])</f>
        <v>Groceries</v>
      </c>
      <c r="AA148" t="s">
        <v>79</v>
      </c>
      <c r="AB148" t="s">
        <v>81</v>
      </c>
      <c r="AC148" t="s">
        <v>79</v>
      </c>
      <c r="AD148" t="s">
        <v>81</v>
      </c>
      <c r="AE148" t="s">
        <v>80</v>
      </c>
      <c r="AF148" t="s">
        <v>78</v>
      </c>
      <c r="AG148" t="s">
        <v>80</v>
      </c>
      <c r="AH148" t="s">
        <v>80</v>
      </c>
      <c r="AI148" t="s">
        <v>80</v>
      </c>
      <c r="AJ148" t="s">
        <v>80</v>
      </c>
      <c r="AK148">
        <v>4</v>
      </c>
      <c r="AL148">
        <v>3</v>
      </c>
      <c r="AM148">
        <v>3</v>
      </c>
      <c r="AN148" t="s">
        <v>133</v>
      </c>
    </row>
    <row r="149" spans="1:40" x14ac:dyDescent="0.35">
      <c r="A149">
        <v>34</v>
      </c>
      <c r="B149" t="str" cm="1">
        <f t="array" ref="B149">_xlfn.IFS(A149&lt;=25,"18-25",A149&lt;=33,"26-33",A149&lt;=41,"34-41",A149&lt;=49,"42-49",A149&gt;49,"50 or above")</f>
        <v>34-41</v>
      </c>
      <c r="C149" t="s">
        <v>89</v>
      </c>
      <c r="D149" t="s">
        <v>105</v>
      </c>
      <c r="E149" t="s">
        <v>109</v>
      </c>
      <c r="F149" t="s">
        <v>102</v>
      </c>
      <c r="G149" t="s">
        <v>66</v>
      </c>
      <c r="H149" t="s">
        <v>66</v>
      </c>
      <c r="I149">
        <v>1</v>
      </c>
      <c r="J149" t="s">
        <v>67</v>
      </c>
      <c r="P149" t="s">
        <v>67</v>
      </c>
      <c r="Q149" t="s">
        <v>117</v>
      </c>
      <c r="R149" t="s">
        <v>94</v>
      </c>
      <c r="S149" t="s">
        <v>107</v>
      </c>
      <c r="T149" t="s">
        <v>99</v>
      </c>
      <c r="U149" t="s">
        <v>74</v>
      </c>
      <c r="Z149" t="str">
        <f>_xlfn.TEXTJOIN(",",TRUE,Table1[[#This Row],[Col5]],Table1[[#This Row],[Col4]],Table1[[#This Row],[Col3]],Table1[[#This Row],[Col2]],Table1[[#This Row],[Col1]])</f>
        <v>Groceries</v>
      </c>
      <c r="AA149" t="s">
        <v>81</v>
      </c>
      <c r="AB149" t="s">
        <v>80</v>
      </c>
      <c r="AC149" t="s">
        <v>81</v>
      </c>
      <c r="AD149" t="s">
        <v>81</v>
      </c>
      <c r="AE149" t="s">
        <v>80</v>
      </c>
      <c r="AF149" t="s">
        <v>81</v>
      </c>
      <c r="AG149" t="s">
        <v>81</v>
      </c>
      <c r="AH149" t="s">
        <v>81</v>
      </c>
      <c r="AI149" t="s">
        <v>81</v>
      </c>
      <c r="AJ149" t="s">
        <v>81</v>
      </c>
      <c r="AK149">
        <v>4</v>
      </c>
      <c r="AL149">
        <v>3</v>
      </c>
      <c r="AM149">
        <v>3</v>
      </c>
      <c r="AN149" t="s">
        <v>97</v>
      </c>
    </row>
    <row r="150" spans="1:40" x14ac:dyDescent="0.35">
      <c r="A150">
        <v>50</v>
      </c>
      <c r="B150" t="str" cm="1">
        <f t="array" ref="B150">_xlfn.IFS(A150&lt;=25,"18-25",A150&lt;=33,"26-33",A150&lt;=41,"34-41",A150&lt;=49,"42-49",A150&gt;49,"50 or above")</f>
        <v>50 or above</v>
      </c>
      <c r="C150" t="s">
        <v>89</v>
      </c>
      <c r="D150" t="s">
        <v>105</v>
      </c>
      <c r="E150" t="s">
        <v>121</v>
      </c>
      <c r="F150" t="s">
        <v>102</v>
      </c>
      <c r="G150" t="s">
        <v>66</v>
      </c>
      <c r="H150" t="s">
        <v>66</v>
      </c>
      <c r="I150">
        <v>1</v>
      </c>
      <c r="J150" t="s">
        <v>67</v>
      </c>
      <c r="P150" t="s">
        <v>67</v>
      </c>
      <c r="Q150" t="s">
        <v>117</v>
      </c>
      <c r="R150" t="s">
        <v>94</v>
      </c>
      <c r="S150" t="s">
        <v>95</v>
      </c>
      <c r="T150" t="s">
        <v>99</v>
      </c>
      <c r="U150" t="s">
        <v>74</v>
      </c>
      <c r="V150" t="s">
        <v>75</v>
      </c>
      <c r="W150" t="s">
        <v>76</v>
      </c>
      <c r="X150" t="s">
        <v>77</v>
      </c>
      <c r="Y150" t="s">
        <v>108</v>
      </c>
      <c r="Z150" t="str">
        <f>_xlfn.TEXTJOIN(",",TRUE,Table1[[#This Row],[Col5]],Table1[[#This Row],[Col4]],Table1[[#This Row],[Col3]],Table1[[#This Row],[Col2]],Table1[[#This Row],[Col1]])</f>
        <v xml:space="preserve"> Medicines, Personal Care, Daily Essentials, Snacks and Beverages,Groceries</v>
      </c>
      <c r="AA150" t="s">
        <v>80</v>
      </c>
      <c r="AB150" t="s">
        <v>80</v>
      </c>
      <c r="AC150" t="s">
        <v>80</v>
      </c>
      <c r="AD150" t="s">
        <v>80</v>
      </c>
      <c r="AE150" t="s">
        <v>80</v>
      </c>
      <c r="AF150" t="s">
        <v>80</v>
      </c>
      <c r="AG150" t="s">
        <v>80</v>
      </c>
      <c r="AH150" t="s">
        <v>80</v>
      </c>
      <c r="AI150" t="s">
        <v>80</v>
      </c>
      <c r="AJ150" t="s">
        <v>80</v>
      </c>
      <c r="AK150">
        <v>3</v>
      </c>
      <c r="AL150">
        <v>3</v>
      </c>
      <c r="AM150">
        <v>3</v>
      </c>
      <c r="AN150" t="s">
        <v>97</v>
      </c>
    </row>
    <row r="151" spans="1:40" x14ac:dyDescent="0.35">
      <c r="A151">
        <v>47</v>
      </c>
      <c r="B151" t="str" cm="1">
        <f t="array" ref="B151">_xlfn.IFS(A151&lt;=25,"18-25",A151&lt;=33,"26-33",A151&lt;=41,"34-41",A151&lt;=49,"42-49",A151&gt;49,"50 or above")</f>
        <v>42-49</v>
      </c>
      <c r="C151" t="s">
        <v>89</v>
      </c>
      <c r="D151" t="s">
        <v>63</v>
      </c>
      <c r="E151" t="s">
        <v>121</v>
      </c>
      <c r="F151" t="s">
        <v>102</v>
      </c>
      <c r="G151" t="s">
        <v>66</v>
      </c>
      <c r="H151" t="s">
        <v>66</v>
      </c>
      <c r="I151">
        <v>1</v>
      </c>
      <c r="J151" t="s">
        <v>67</v>
      </c>
      <c r="P151" t="s">
        <v>67</v>
      </c>
      <c r="Q151" t="s">
        <v>117</v>
      </c>
      <c r="R151" t="s">
        <v>94</v>
      </c>
      <c r="S151" t="s">
        <v>107</v>
      </c>
      <c r="T151" t="s">
        <v>73</v>
      </c>
      <c r="U151" t="s">
        <v>74</v>
      </c>
      <c r="Z151" t="str">
        <f>_xlfn.TEXTJOIN(",",TRUE,Table1[[#This Row],[Col5]],Table1[[#This Row],[Col4]],Table1[[#This Row],[Col3]],Table1[[#This Row],[Col2]],Table1[[#This Row],[Col1]])</f>
        <v>Groceries</v>
      </c>
      <c r="AA151" t="s">
        <v>81</v>
      </c>
      <c r="AB151" t="s">
        <v>80</v>
      </c>
      <c r="AC151" t="s">
        <v>80</v>
      </c>
      <c r="AD151" t="s">
        <v>80</v>
      </c>
      <c r="AE151" t="s">
        <v>80</v>
      </c>
      <c r="AF151" t="s">
        <v>80</v>
      </c>
      <c r="AG151" t="s">
        <v>80</v>
      </c>
      <c r="AH151" t="s">
        <v>80</v>
      </c>
      <c r="AI151" t="s">
        <v>80</v>
      </c>
      <c r="AJ151" t="s">
        <v>80</v>
      </c>
      <c r="AK151">
        <v>3</v>
      </c>
      <c r="AL151">
        <v>4</v>
      </c>
      <c r="AM151">
        <v>3</v>
      </c>
      <c r="AN151" t="s">
        <v>115</v>
      </c>
    </row>
    <row r="152" spans="1:40" x14ac:dyDescent="0.35">
      <c r="A152">
        <v>54</v>
      </c>
      <c r="B152" t="str" cm="1">
        <f t="array" ref="B152">_xlfn.IFS(A152&lt;=25,"18-25",A152&lt;=33,"26-33",A152&lt;=41,"34-41",A152&lt;=49,"42-49",A152&gt;49,"50 or above")</f>
        <v>50 or above</v>
      </c>
      <c r="C152" t="s">
        <v>89</v>
      </c>
      <c r="D152" t="s">
        <v>105</v>
      </c>
      <c r="E152" t="s">
        <v>86</v>
      </c>
      <c r="F152" t="s">
        <v>65</v>
      </c>
      <c r="G152" t="s">
        <v>66</v>
      </c>
      <c r="H152" t="s">
        <v>66</v>
      </c>
      <c r="I152">
        <v>1</v>
      </c>
      <c r="J152" t="s">
        <v>67</v>
      </c>
      <c r="P152" t="s">
        <v>67</v>
      </c>
      <c r="Q152" t="s">
        <v>117</v>
      </c>
      <c r="R152" t="s">
        <v>94</v>
      </c>
      <c r="S152" t="s">
        <v>107</v>
      </c>
      <c r="T152" t="s">
        <v>73</v>
      </c>
      <c r="U152" t="s">
        <v>74</v>
      </c>
      <c r="Z152" t="str">
        <f>_xlfn.TEXTJOIN(",",TRUE,Table1[[#This Row],[Col5]],Table1[[#This Row],[Col4]],Table1[[#This Row],[Col3]],Table1[[#This Row],[Col2]],Table1[[#This Row],[Col1]])</f>
        <v>Groceries</v>
      </c>
      <c r="AA152" t="s">
        <v>79</v>
      </c>
      <c r="AB152" t="s">
        <v>81</v>
      </c>
      <c r="AC152" t="s">
        <v>81</v>
      </c>
      <c r="AD152" t="s">
        <v>81</v>
      </c>
      <c r="AE152" t="s">
        <v>81</v>
      </c>
      <c r="AF152" t="s">
        <v>81</v>
      </c>
      <c r="AG152" t="s">
        <v>81</v>
      </c>
      <c r="AH152" t="s">
        <v>81</v>
      </c>
      <c r="AI152" t="s">
        <v>81</v>
      </c>
      <c r="AJ152" t="s">
        <v>81</v>
      </c>
      <c r="AK152">
        <v>4</v>
      </c>
      <c r="AL152">
        <v>3</v>
      </c>
      <c r="AM152">
        <v>4</v>
      </c>
      <c r="AN152" t="s">
        <v>82</v>
      </c>
    </row>
    <row r="153" spans="1:40" x14ac:dyDescent="0.35">
      <c r="A153">
        <v>45</v>
      </c>
      <c r="B153" t="str" cm="1">
        <f t="array" ref="B153">_xlfn.IFS(A153&lt;=25,"18-25",A153&lt;=33,"26-33",A153&lt;=41,"34-41",A153&lt;=49,"42-49",A153&gt;49,"50 or above")</f>
        <v>42-49</v>
      </c>
      <c r="C153" t="s">
        <v>89</v>
      </c>
      <c r="D153" t="s">
        <v>63</v>
      </c>
      <c r="E153" t="s">
        <v>86</v>
      </c>
      <c r="F153" t="s">
        <v>102</v>
      </c>
      <c r="G153" t="s">
        <v>66</v>
      </c>
      <c r="H153" t="s">
        <v>66</v>
      </c>
      <c r="I153">
        <v>1</v>
      </c>
      <c r="J153" t="s">
        <v>67</v>
      </c>
      <c r="P153" t="s">
        <v>67</v>
      </c>
      <c r="Q153" t="s">
        <v>117</v>
      </c>
      <c r="R153" t="s">
        <v>94</v>
      </c>
      <c r="S153" t="s">
        <v>107</v>
      </c>
      <c r="T153" t="s">
        <v>99</v>
      </c>
      <c r="U153" t="s">
        <v>74</v>
      </c>
      <c r="Z153" t="str">
        <f>_xlfn.TEXTJOIN(",",TRUE,Table1[[#This Row],[Col5]],Table1[[#This Row],[Col4]],Table1[[#This Row],[Col3]],Table1[[#This Row],[Col2]],Table1[[#This Row],[Col1]])</f>
        <v>Groceries</v>
      </c>
      <c r="AA153" t="s">
        <v>81</v>
      </c>
      <c r="AB153" t="s">
        <v>81</v>
      </c>
      <c r="AC153" t="s">
        <v>80</v>
      </c>
      <c r="AD153" t="s">
        <v>80</v>
      </c>
      <c r="AE153" t="s">
        <v>80</v>
      </c>
      <c r="AF153" t="s">
        <v>80</v>
      </c>
      <c r="AG153" t="s">
        <v>80</v>
      </c>
      <c r="AH153" t="s">
        <v>80</v>
      </c>
      <c r="AI153" t="s">
        <v>80</v>
      </c>
      <c r="AJ153" t="s">
        <v>80</v>
      </c>
      <c r="AK153">
        <v>3</v>
      </c>
      <c r="AL153">
        <v>4</v>
      </c>
      <c r="AM153">
        <v>3</v>
      </c>
      <c r="AN153" t="s">
        <v>82</v>
      </c>
    </row>
    <row r="154" spans="1:40" x14ac:dyDescent="0.35">
      <c r="A154">
        <v>38</v>
      </c>
      <c r="B154" t="str" cm="1">
        <f t="array" ref="B154">_xlfn.IFS(A154&lt;=25,"18-25",A154&lt;=33,"26-33",A154&lt;=41,"34-41",A154&lt;=49,"42-49",A154&gt;49,"50 or above")</f>
        <v>34-41</v>
      </c>
      <c r="C154" t="s">
        <v>62</v>
      </c>
      <c r="D154" t="s">
        <v>63</v>
      </c>
      <c r="E154" t="s">
        <v>86</v>
      </c>
      <c r="F154" t="s">
        <v>87</v>
      </c>
      <c r="G154" t="s">
        <v>66</v>
      </c>
      <c r="H154" t="s">
        <v>66</v>
      </c>
      <c r="I154">
        <v>1</v>
      </c>
      <c r="J154" t="s">
        <v>67</v>
      </c>
      <c r="K154" t="s">
        <v>68</v>
      </c>
      <c r="P154" t="s">
        <v>93</v>
      </c>
      <c r="Q154" t="s">
        <v>103</v>
      </c>
      <c r="R154" t="s">
        <v>92</v>
      </c>
      <c r="S154" t="s">
        <v>72</v>
      </c>
      <c r="T154" t="s">
        <v>73</v>
      </c>
      <c r="U154" t="s">
        <v>74</v>
      </c>
      <c r="V154" t="s">
        <v>75</v>
      </c>
      <c r="Z154" t="str">
        <f>_xlfn.TEXTJOIN(",",TRUE,Table1[[#This Row],[Col5]],Table1[[#This Row],[Col4]],Table1[[#This Row],[Col3]],Table1[[#This Row],[Col2]],Table1[[#This Row],[Col1]])</f>
        <v xml:space="preserve"> Snacks and Beverages,Groceries</v>
      </c>
      <c r="AA154" t="s">
        <v>78</v>
      </c>
      <c r="AB154" t="s">
        <v>80</v>
      </c>
      <c r="AC154" t="s">
        <v>78</v>
      </c>
      <c r="AD154" t="s">
        <v>81</v>
      </c>
      <c r="AE154" t="s">
        <v>78</v>
      </c>
      <c r="AF154" t="s">
        <v>81</v>
      </c>
      <c r="AG154" t="s">
        <v>80</v>
      </c>
      <c r="AH154" t="s">
        <v>81</v>
      </c>
      <c r="AI154" t="s">
        <v>78</v>
      </c>
      <c r="AJ154" t="s">
        <v>78</v>
      </c>
      <c r="AK154">
        <v>4</v>
      </c>
      <c r="AL154">
        <v>5</v>
      </c>
      <c r="AM154">
        <v>3</v>
      </c>
      <c r="AN154" t="s">
        <v>133</v>
      </c>
    </row>
    <row r="155" spans="1:40" x14ac:dyDescent="0.35">
      <c r="A155">
        <v>40</v>
      </c>
      <c r="B155" t="str" cm="1">
        <f t="array" ref="B155">_xlfn.IFS(A155&lt;=25,"18-25",A155&lt;=33,"26-33",A155&lt;=41,"34-41",A155&lt;=49,"42-49",A155&gt;49,"50 or above")</f>
        <v>34-41</v>
      </c>
      <c r="C155" t="s">
        <v>62</v>
      </c>
      <c r="D155" t="s">
        <v>116</v>
      </c>
      <c r="E155" t="s">
        <v>86</v>
      </c>
      <c r="F155" t="s">
        <v>87</v>
      </c>
      <c r="G155" t="s">
        <v>66</v>
      </c>
      <c r="H155" t="s">
        <v>66</v>
      </c>
      <c r="I155">
        <v>1</v>
      </c>
      <c r="J155" t="s">
        <v>67</v>
      </c>
      <c r="M155" t="s">
        <v>147</v>
      </c>
      <c r="P155" t="s">
        <v>67</v>
      </c>
      <c r="Q155" t="s">
        <v>98</v>
      </c>
      <c r="R155" t="s">
        <v>92</v>
      </c>
      <c r="S155" t="s">
        <v>130</v>
      </c>
      <c r="T155" t="s">
        <v>73</v>
      </c>
      <c r="U155" t="s">
        <v>74</v>
      </c>
      <c r="W155" t="s">
        <v>76</v>
      </c>
      <c r="Z155" t="str">
        <f>_xlfn.TEXTJOIN(",",TRUE,Table1[[#This Row],[Col5]],Table1[[#This Row],[Col4]],Table1[[#This Row],[Col3]],Table1[[#This Row],[Col2]],Table1[[#This Row],[Col1]])</f>
        <v xml:space="preserve"> Daily Essentials,Groceries</v>
      </c>
      <c r="AA155" t="s">
        <v>80</v>
      </c>
      <c r="AB155" t="s">
        <v>80</v>
      </c>
      <c r="AC155" t="s">
        <v>78</v>
      </c>
      <c r="AD155" t="s">
        <v>78</v>
      </c>
      <c r="AE155" t="s">
        <v>80</v>
      </c>
      <c r="AF155" t="s">
        <v>81</v>
      </c>
      <c r="AG155" t="s">
        <v>80</v>
      </c>
      <c r="AH155" t="s">
        <v>78</v>
      </c>
      <c r="AI155" t="s">
        <v>80</v>
      </c>
      <c r="AJ155" t="s">
        <v>80</v>
      </c>
      <c r="AK155">
        <v>4</v>
      </c>
      <c r="AL155">
        <v>5</v>
      </c>
      <c r="AM155">
        <v>4</v>
      </c>
      <c r="AN155" t="s">
        <v>133</v>
      </c>
    </row>
    <row r="156" spans="1:40" x14ac:dyDescent="0.35">
      <c r="A156">
        <v>30</v>
      </c>
      <c r="B156" t="str" cm="1">
        <f t="array" ref="B156">_xlfn.IFS(A156&lt;=25,"18-25",A156&lt;=33,"26-33",A156&lt;=41,"34-41",A156&lt;=49,"42-49",A156&gt;49,"50 or above")</f>
        <v>26-33</v>
      </c>
      <c r="C156" t="s">
        <v>62</v>
      </c>
      <c r="D156" t="s">
        <v>119</v>
      </c>
      <c r="E156" t="s">
        <v>86</v>
      </c>
      <c r="F156" t="s">
        <v>90</v>
      </c>
      <c r="G156" t="s">
        <v>66</v>
      </c>
      <c r="H156" t="s">
        <v>66</v>
      </c>
      <c r="I156">
        <v>1</v>
      </c>
      <c r="J156" t="s">
        <v>67</v>
      </c>
      <c r="L156" t="s">
        <v>69</v>
      </c>
      <c r="P156" t="s">
        <v>91</v>
      </c>
      <c r="Q156" t="s">
        <v>103</v>
      </c>
      <c r="R156" t="s">
        <v>94</v>
      </c>
      <c r="S156" t="s">
        <v>72</v>
      </c>
      <c r="T156" t="s">
        <v>99</v>
      </c>
      <c r="U156" t="s">
        <v>74</v>
      </c>
      <c r="W156" t="s">
        <v>76</v>
      </c>
      <c r="Z156" t="str">
        <f>_xlfn.TEXTJOIN(",",TRUE,Table1[[#This Row],[Col5]],Table1[[#This Row],[Col4]],Table1[[#This Row],[Col3]],Table1[[#This Row],[Col2]],Table1[[#This Row],[Col1]])</f>
        <v xml:space="preserve"> Daily Essentials,Groceries</v>
      </c>
      <c r="AA156" t="s">
        <v>80</v>
      </c>
      <c r="AB156" t="s">
        <v>78</v>
      </c>
      <c r="AC156" t="s">
        <v>80</v>
      </c>
      <c r="AD156" t="s">
        <v>80</v>
      </c>
      <c r="AE156" t="s">
        <v>78</v>
      </c>
      <c r="AF156" t="s">
        <v>81</v>
      </c>
      <c r="AG156" t="s">
        <v>81</v>
      </c>
      <c r="AH156" t="s">
        <v>79</v>
      </c>
      <c r="AI156" t="s">
        <v>78</v>
      </c>
      <c r="AJ156" t="s">
        <v>78</v>
      </c>
      <c r="AK156">
        <v>4</v>
      </c>
      <c r="AL156">
        <v>5</v>
      </c>
      <c r="AM156">
        <v>3</v>
      </c>
      <c r="AN156" t="s">
        <v>128</v>
      </c>
    </row>
    <row r="157" spans="1:40" x14ac:dyDescent="0.35">
      <c r="A157">
        <v>40</v>
      </c>
      <c r="B157" t="str" cm="1">
        <f t="array" ref="B157">_xlfn.IFS(A157&lt;=25,"18-25",A157&lt;=33,"26-33",A157&lt;=41,"34-41",A157&lt;=49,"42-49",A157&gt;49,"50 or above")</f>
        <v>34-41</v>
      </c>
      <c r="C157" t="s">
        <v>62</v>
      </c>
      <c r="D157" t="s">
        <v>105</v>
      </c>
      <c r="E157" t="s">
        <v>86</v>
      </c>
      <c r="F157" t="s">
        <v>102</v>
      </c>
      <c r="G157" t="s">
        <v>66</v>
      </c>
      <c r="H157" t="s">
        <v>66</v>
      </c>
      <c r="I157">
        <v>1</v>
      </c>
      <c r="J157" t="s">
        <v>67</v>
      </c>
      <c r="P157" t="s">
        <v>67</v>
      </c>
      <c r="Q157" t="s">
        <v>103</v>
      </c>
      <c r="R157" t="s">
        <v>92</v>
      </c>
      <c r="S157" t="s">
        <v>95</v>
      </c>
      <c r="T157" t="s">
        <v>99</v>
      </c>
      <c r="U157" t="s">
        <v>74</v>
      </c>
      <c r="V157" t="s">
        <v>75</v>
      </c>
      <c r="Z157" t="str">
        <f>_xlfn.TEXTJOIN(",",TRUE,Table1[[#This Row],[Col5]],Table1[[#This Row],[Col4]],Table1[[#This Row],[Col3]],Table1[[#This Row],[Col2]],Table1[[#This Row],[Col1]])</f>
        <v xml:space="preserve"> Snacks and Beverages,Groceries</v>
      </c>
      <c r="AA157" t="s">
        <v>78</v>
      </c>
      <c r="AB157" t="s">
        <v>78</v>
      </c>
      <c r="AC157" t="s">
        <v>79</v>
      </c>
      <c r="AD157" t="s">
        <v>78</v>
      </c>
      <c r="AE157" t="s">
        <v>80</v>
      </c>
      <c r="AF157" t="s">
        <v>81</v>
      </c>
      <c r="AG157" t="s">
        <v>80</v>
      </c>
      <c r="AH157" t="s">
        <v>78</v>
      </c>
      <c r="AI157" t="s">
        <v>78</v>
      </c>
      <c r="AJ157" t="s">
        <v>80</v>
      </c>
      <c r="AK157">
        <v>4</v>
      </c>
      <c r="AL157">
        <v>5</v>
      </c>
      <c r="AM157">
        <v>4</v>
      </c>
      <c r="AN157" t="s">
        <v>133</v>
      </c>
    </row>
    <row r="158" spans="1:40" x14ac:dyDescent="0.35">
      <c r="A158">
        <v>38</v>
      </c>
      <c r="B158" t="str" cm="1">
        <f t="array" ref="B158">_xlfn.IFS(A158&lt;=25,"18-25",A158&lt;=33,"26-33",A158&lt;=41,"34-41",A158&lt;=49,"42-49",A158&gt;49,"50 or above")</f>
        <v>34-41</v>
      </c>
      <c r="C158" t="s">
        <v>62</v>
      </c>
      <c r="D158" t="s">
        <v>105</v>
      </c>
      <c r="E158" t="s">
        <v>86</v>
      </c>
      <c r="F158" t="s">
        <v>90</v>
      </c>
      <c r="G158" t="s">
        <v>66</v>
      </c>
      <c r="H158" t="s">
        <v>66</v>
      </c>
      <c r="I158">
        <v>1</v>
      </c>
      <c r="J158" t="s">
        <v>67</v>
      </c>
      <c r="K158" t="s">
        <v>68</v>
      </c>
      <c r="L158" t="s">
        <v>69</v>
      </c>
      <c r="P158" t="s">
        <v>67</v>
      </c>
      <c r="Q158" t="s">
        <v>70</v>
      </c>
      <c r="R158" t="s">
        <v>94</v>
      </c>
      <c r="S158" t="s">
        <v>72</v>
      </c>
      <c r="T158" t="s">
        <v>73</v>
      </c>
      <c r="U158" t="s">
        <v>74</v>
      </c>
      <c r="W158" t="s">
        <v>76</v>
      </c>
      <c r="X158" t="s">
        <v>77</v>
      </c>
      <c r="Z158" t="str">
        <f>_xlfn.TEXTJOIN(",",TRUE,Table1[[#This Row],[Col5]],Table1[[#This Row],[Col4]],Table1[[#This Row],[Col3]],Table1[[#This Row],[Col2]],Table1[[#This Row],[Col1]])</f>
        <v xml:space="preserve"> Personal Care, Daily Essentials,Groceries</v>
      </c>
      <c r="AA158" t="s">
        <v>78</v>
      </c>
      <c r="AB158" t="s">
        <v>78</v>
      </c>
      <c r="AC158" t="s">
        <v>80</v>
      </c>
      <c r="AD158" t="s">
        <v>80</v>
      </c>
      <c r="AE158" t="s">
        <v>81</v>
      </c>
      <c r="AF158" t="s">
        <v>80</v>
      </c>
      <c r="AG158" t="s">
        <v>80</v>
      </c>
      <c r="AH158" t="s">
        <v>80</v>
      </c>
      <c r="AI158" t="s">
        <v>80</v>
      </c>
      <c r="AJ158" t="s">
        <v>81</v>
      </c>
      <c r="AK158">
        <v>4</v>
      </c>
      <c r="AL158">
        <v>3</v>
      </c>
      <c r="AM158">
        <v>4</v>
      </c>
      <c r="AN158" t="s">
        <v>128</v>
      </c>
    </row>
    <row r="159" spans="1:40" x14ac:dyDescent="0.35">
      <c r="A159">
        <v>31</v>
      </c>
      <c r="B159" t="str" cm="1">
        <f t="array" ref="B159">_xlfn.IFS(A159&lt;=25,"18-25",A159&lt;=33,"26-33",A159&lt;=41,"34-41",A159&lt;=49,"42-49",A159&gt;49,"50 or above")</f>
        <v>26-33</v>
      </c>
      <c r="C159" t="s">
        <v>62</v>
      </c>
      <c r="D159" t="s">
        <v>105</v>
      </c>
      <c r="E159" t="s">
        <v>64</v>
      </c>
      <c r="F159" t="s">
        <v>102</v>
      </c>
      <c r="G159" t="s">
        <v>66</v>
      </c>
      <c r="H159" t="s">
        <v>66</v>
      </c>
      <c r="I159">
        <v>1</v>
      </c>
      <c r="J159" t="s">
        <v>67</v>
      </c>
      <c r="K159" t="s">
        <v>68</v>
      </c>
      <c r="P159" t="s">
        <v>93</v>
      </c>
      <c r="Q159" t="s">
        <v>70</v>
      </c>
      <c r="R159" t="s">
        <v>92</v>
      </c>
      <c r="S159" t="s">
        <v>72</v>
      </c>
      <c r="T159" t="s">
        <v>73</v>
      </c>
      <c r="U159" t="s">
        <v>74</v>
      </c>
      <c r="V159" t="s">
        <v>75</v>
      </c>
      <c r="Z159" t="str">
        <f>_xlfn.TEXTJOIN(",",TRUE,Table1[[#This Row],[Col5]],Table1[[#This Row],[Col4]],Table1[[#This Row],[Col3]],Table1[[#This Row],[Col2]],Table1[[#This Row],[Col1]])</f>
        <v xml:space="preserve"> Snacks and Beverages,Groceries</v>
      </c>
      <c r="AA159" t="s">
        <v>78</v>
      </c>
      <c r="AB159" t="s">
        <v>78</v>
      </c>
      <c r="AC159" t="s">
        <v>80</v>
      </c>
      <c r="AD159" t="s">
        <v>80</v>
      </c>
      <c r="AE159" t="s">
        <v>80</v>
      </c>
      <c r="AF159" t="s">
        <v>81</v>
      </c>
      <c r="AG159" t="s">
        <v>78</v>
      </c>
      <c r="AH159" t="s">
        <v>78</v>
      </c>
      <c r="AI159" t="s">
        <v>81</v>
      </c>
      <c r="AJ159" t="s">
        <v>78</v>
      </c>
      <c r="AK159">
        <v>3</v>
      </c>
      <c r="AL159">
        <v>5</v>
      </c>
      <c r="AM159">
        <v>5</v>
      </c>
      <c r="AN159" t="s">
        <v>82</v>
      </c>
    </row>
    <row r="160" spans="1:40" x14ac:dyDescent="0.35">
      <c r="A160">
        <v>31</v>
      </c>
      <c r="B160" t="str" cm="1">
        <f t="array" ref="B160">_xlfn.IFS(A160&lt;=25,"18-25",A160&lt;=33,"26-33",A160&lt;=41,"34-41",A160&lt;=49,"42-49",A160&gt;49,"50 or above")</f>
        <v>26-33</v>
      </c>
      <c r="C160" t="s">
        <v>62</v>
      </c>
      <c r="D160" t="s">
        <v>105</v>
      </c>
      <c r="E160" t="s">
        <v>109</v>
      </c>
      <c r="F160" t="s">
        <v>90</v>
      </c>
      <c r="G160" t="s">
        <v>66</v>
      </c>
      <c r="H160" t="s">
        <v>66</v>
      </c>
      <c r="I160">
        <v>1</v>
      </c>
      <c r="J160" t="s">
        <v>67</v>
      </c>
      <c r="K160" t="s">
        <v>68</v>
      </c>
      <c r="L160" t="s">
        <v>69</v>
      </c>
      <c r="P160" t="s">
        <v>67</v>
      </c>
      <c r="Q160" t="s">
        <v>117</v>
      </c>
      <c r="R160" t="s">
        <v>71</v>
      </c>
      <c r="S160" t="s">
        <v>72</v>
      </c>
      <c r="T160" t="s">
        <v>73</v>
      </c>
      <c r="U160" t="s">
        <v>74</v>
      </c>
      <c r="Z160" t="str">
        <f>_xlfn.TEXTJOIN(",",TRUE,Table1[[#This Row],[Col5]],Table1[[#This Row],[Col4]],Table1[[#This Row],[Col3]],Table1[[#This Row],[Col2]],Table1[[#This Row],[Col1]])</f>
        <v>Groceries</v>
      </c>
      <c r="AA160" t="s">
        <v>78</v>
      </c>
      <c r="AB160" t="s">
        <v>78</v>
      </c>
      <c r="AC160" t="s">
        <v>80</v>
      </c>
      <c r="AD160" t="s">
        <v>80</v>
      </c>
      <c r="AE160" t="s">
        <v>78</v>
      </c>
      <c r="AF160" t="s">
        <v>78</v>
      </c>
      <c r="AG160" t="s">
        <v>80</v>
      </c>
      <c r="AH160" t="s">
        <v>81</v>
      </c>
      <c r="AI160" t="s">
        <v>80</v>
      </c>
      <c r="AJ160" t="s">
        <v>78</v>
      </c>
      <c r="AK160">
        <v>3</v>
      </c>
      <c r="AL160">
        <v>4</v>
      </c>
      <c r="AM160">
        <v>3</v>
      </c>
      <c r="AN160" t="s">
        <v>104</v>
      </c>
    </row>
    <row r="161" spans="1:40" x14ac:dyDescent="0.35">
      <c r="A161">
        <v>40</v>
      </c>
      <c r="B161" t="str" cm="1">
        <f t="array" ref="B161">_xlfn.IFS(A161&lt;=25,"18-25",A161&lt;=33,"26-33",A161&lt;=41,"34-41",A161&lt;=49,"42-49",A161&gt;49,"50 or above")</f>
        <v>34-41</v>
      </c>
      <c r="C161" t="s">
        <v>62</v>
      </c>
      <c r="D161" t="s">
        <v>105</v>
      </c>
      <c r="E161" t="s">
        <v>86</v>
      </c>
      <c r="F161" t="s">
        <v>87</v>
      </c>
      <c r="G161" t="s">
        <v>66</v>
      </c>
      <c r="H161" t="s">
        <v>66</v>
      </c>
      <c r="I161">
        <v>1</v>
      </c>
      <c r="J161" t="s">
        <v>67</v>
      </c>
      <c r="K161" t="s">
        <v>68</v>
      </c>
      <c r="L161" t="s">
        <v>69</v>
      </c>
      <c r="P161" t="s">
        <v>67</v>
      </c>
      <c r="Q161" t="s">
        <v>70</v>
      </c>
      <c r="R161" t="s">
        <v>92</v>
      </c>
      <c r="S161" t="s">
        <v>113</v>
      </c>
      <c r="T161" t="s">
        <v>73</v>
      </c>
      <c r="U161" t="s">
        <v>74</v>
      </c>
      <c r="W161" t="s">
        <v>76</v>
      </c>
      <c r="X161" t="s">
        <v>77</v>
      </c>
      <c r="Z161" t="str">
        <f>_xlfn.TEXTJOIN(",",TRUE,Table1[[#This Row],[Col5]],Table1[[#This Row],[Col4]],Table1[[#This Row],[Col3]],Table1[[#This Row],[Col2]],Table1[[#This Row],[Col1]])</f>
        <v xml:space="preserve"> Personal Care, Daily Essentials,Groceries</v>
      </c>
      <c r="AA161" t="s">
        <v>80</v>
      </c>
      <c r="AB161" t="s">
        <v>81</v>
      </c>
      <c r="AC161" t="s">
        <v>81</v>
      </c>
      <c r="AD161" t="s">
        <v>80</v>
      </c>
      <c r="AE161" t="s">
        <v>78</v>
      </c>
      <c r="AF161" t="s">
        <v>80</v>
      </c>
      <c r="AG161" t="s">
        <v>81</v>
      </c>
      <c r="AH161" t="s">
        <v>80</v>
      </c>
      <c r="AI161" t="s">
        <v>78</v>
      </c>
      <c r="AJ161" t="s">
        <v>80</v>
      </c>
      <c r="AK161">
        <v>3</v>
      </c>
      <c r="AL161">
        <v>4</v>
      </c>
      <c r="AM161">
        <v>5</v>
      </c>
      <c r="AN161" t="s">
        <v>104</v>
      </c>
    </row>
    <row r="162" spans="1:40" x14ac:dyDescent="0.35">
      <c r="A162">
        <v>18</v>
      </c>
      <c r="B162" t="str" cm="1">
        <f t="array" ref="B162">_xlfn.IFS(A162&lt;=25,"18-25",A162&lt;=33,"26-33",A162&lt;=41,"34-41",A162&lt;=49,"42-49",A162&gt;49,"50 or above")</f>
        <v>18-25</v>
      </c>
      <c r="C162" t="s">
        <v>62</v>
      </c>
      <c r="D162" t="s">
        <v>63</v>
      </c>
      <c r="E162" t="s">
        <v>64</v>
      </c>
      <c r="F162" t="s">
        <v>90</v>
      </c>
      <c r="G162" t="s">
        <v>66</v>
      </c>
      <c r="H162" t="s">
        <v>66</v>
      </c>
      <c r="I162">
        <v>1</v>
      </c>
      <c r="J162" t="s">
        <v>67</v>
      </c>
      <c r="K162" t="s">
        <v>68</v>
      </c>
      <c r="L162" t="s">
        <v>69</v>
      </c>
      <c r="P162" t="s">
        <v>67</v>
      </c>
      <c r="Q162" t="s">
        <v>98</v>
      </c>
      <c r="R162" t="s">
        <v>92</v>
      </c>
      <c r="S162" t="s">
        <v>113</v>
      </c>
      <c r="T162" t="s">
        <v>99</v>
      </c>
      <c r="U162" t="s">
        <v>74</v>
      </c>
      <c r="V162" t="s">
        <v>75</v>
      </c>
      <c r="W162" t="s">
        <v>76</v>
      </c>
      <c r="X162" t="s">
        <v>77</v>
      </c>
      <c r="Z162" t="str">
        <f>_xlfn.TEXTJOIN(",",TRUE,Table1[[#This Row],[Col5]],Table1[[#This Row],[Col4]],Table1[[#This Row],[Col3]],Table1[[#This Row],[Col2]],Table1[[#This Row],[Col1]])</f>
        <v xml:space="preserve"> Personal Care, Daily Essentials, Snacks and Beverages,Groceries</v>
      </c>
      <c r="AA162" t="s">
        <v>78</v>
      </c>
      <c r="AB162" t="s">
        <v>80</v>
      </c>
      <c r="AC162" t="s">
        <v>80</v>
      </c>
      <c r="AD162" t="s">
        <v>80</v>
      </c>
      <c r="AE162" t="s">
        <v>78</v>
      </c>
      <c r="AF162" t="s">
        <v>80</v>
      </c>
      <c r="AG162" t="s">
        <v>81</v>
      </c>
      <c r="AH162" t="s">
        <v>80</v>
      </c>
      <c r="AI162" t="s">
        <v>78</v>
      </c>
      <c r="AJ162" t="s">
        <v>78</v>
      </c>
      <c r="AK162">
        <v>3</v>
      </c>
      <c r="AL162">
        <v>4</v>
      </c>
      <c r="AM162">
        <v>4</v>
      </c>
      <c r="AN162" t="s">
        <v>82</v>
      </c>
    </row>
    <row r="163" spans="1:40" x14ac:dyDescent="0.35">
      <c r="A163">
        <v>29</v>
      </c>
      <c r="B163" t="str" cm="1">
        <f t="array" ref="B163">_xlfn.IFS(A163&lt;=25,"18-25",A163&lt;=33,"26-33",A163&lt;=41,"34-41",A163&lt;=49,"42-49",A163&gt;49,"50 or above")</f>
        <v>26-33</v>
      </c>
      <c r="C163" t="s">
        <v>62</v>
      </c>
      <c r="D163" t="s">
        <v>63</v>
      </c>
      <c r="E163" t="s">
        <v>121</v>
      </c>
      <c r="F163" t="s">
        <v>90</v>
      </c>
      <c r="G163" t="s">
        <v>66</v>
      </c>
      <c r="H163" t="s">
        <v>66</v>
      </c>
      <c r="I163">
        <v>1</v>
      </c>
      <c r="J163" t="s">
        <v>67</v>
      </c>
      <c r="K163" t="s">
        <v>68</v>
      </c>
      <c r="L163" t="s">
        <v>69</v>
      </c>
      <c r="P163" t="s">
        <v>67</v>
      </c>
      <c r="Q163" t="s">
        <v>70</v>
      </c>
      <c r="R163" t="s">
        <v>92</v>
      </c>
      <c r="S163" t="s">
        <v>72</v>
      </c>
      <c r="T163" t="s">
        <v>99</v>
      </c>
      <c r="V163" t="s">
        <v>96</v>
      </c>
      <c r="W163" t="s">
        <v>76</v>
      </c>
      <c r="Z163" t="str">
        <f>_xlfn.TEXTJOIN(",",TRUE,Table1[[#This Row],[Col5]],Table1[[#This Row],[Col4]],Table1[[#This Row],[Col3]],Table1[[#This Row],[Col2]],Table1[[#This Row],[Col1]])</f>
        <v xml:space="preserve"> Daily Essentials,Snacks and Beverages</v>
      </c>
      <c r="AA163" t="s">
        <v>80</v>
      </c>
      <c r="AB163" t="s">
        <v>78</v>
      </c>
      <c r="AC163" t="s">
        <v>80</v>
      </c>
      <c r="AD163" t="s">
        <v>81</v>
      </c>
      <c r="AE163" t="s">
        <v>80</v>
      </c>
      <c r="AF163" t="s">
        <v>80</v>
      </c>
      <c r="AG163" t="s">
        <v>78</v>
      </c>
      <c r="AH163" t="s">
        <v>80</v>
      </c>
      <c r="AI163" t="s">
        <v>81</v>
      </c>
      <c r="AJ163" t="s">
        <v>81</v>
      </c>
      <c r="AK163">
        <v>3</v>
      </c>
      <c r="AL163">
        <v>5</v>
      </c>
      <c r="AM163">
        <v>2</v>
      </c>
      <c r="AN163" t="s">
        <v>115</v>
      </c>
    </row>
    <row r="164" spans="1:40" x14ac:dyDescent="0.35">
      <c r="A164">
        <v>25</v>
      </c>
      <c r="B164" t="str" cm="1">
        <f t="array" ref="B164">_xlfn.IFS(A164&lt;=25,"18-25",A164&lt;=33,"26-33",A164&lt;=41,"34-41",A164&lt;=49,"42-49",A164&gt;49,"50 or above")</f>
        <v>18-25</v>
      </c>
      <c r="C164" t="s">
        <v>62</v>
      </c>
      <c r="D164" t="s">
        <v>63</v>
      </c>
      <c r="E164" t="s">
        <v>64</v>
      </c>
      <c r="F164" t="s">
        <v>87</v>
      </c>
      <c r="G164" t="s">
        <v>66</v>
      </c>
      <c r="H164" t="s">
        <v>66</v>
      </c>
      <c r="I164">
        <v>1</v>
      </c>
      <c r="J164" t="s">
        <v>67</v>
      </c>
      <c r="L164" t="s">
        <v>69</v>
      </c>
      <c r="P164" t="s">
        <v>67</v>
      </c>
      <c r="Q164" t="s">
        <v>98</v>
      </c>
      <c r="R164" t="s">
        <v>92</v>
      </c>
      <c r="S164" t="s">
        <v>72</v>
      </c>
      <c r="T164" t="s">
        <v>73</v>
      </c>
      <c r="U164" t="s">
        <v>74</v>
      </c>
      <c r="V164" t="s">
        <v>75</v>
      </c>
      <c r="W164" t="s">
        <v>76</v>
      </c>
      <c r="X164" t="s">
        <v>77</v>
      </c>
      <c r="Z164" t="str">
        <f>_xlfn.TEXTJOIN(",",TRUE,Table1[[#This Row],[Col5]],Table1[[#This Row],[Col4]],Table1[[#This Row],[Col3]],Table1[[#This Row],[Col2]],Table1[[#This Row],[Col1]])</f>
        <v xml:space="preserve"> Personal Care, Daily Essentials, Snacks and Beverages,Groceries</v>
      </c>
      <c r="AA164" t="s">
        <v>80</v>
      </c>
      <c r="AB164" t="s">
        <v>81</v>
      </c>
      <c r="AC164" t="s">
        <v>81</v>
      </c>
      <c r="AD164" t="s">
        <v>80</v>
      </c>
      <c r="AE164" t="s">
        <v>80</v>
      </c>
      <c r="AF164" t="s">
        <v>80</v>
      </c>
      <c r="AG164" t="s">
        <v>78</v>
      </c>
      <c r="AH164" t="s">
        <v>80</v>
      </c>
      <c r="AI164" t="s">
        <v>80</v>
      </c>
      <c r="AJ164" t="s">
        <v>81</v>
      </c>
      <c r="AK164">
        <v>4</v>
      </c>
      <c r="AL164">
        <v>5</v>
      </c>
      <c r="AM164">
        <v>2</v>
      </c>
      <c r="AN164" t="s">
        <v>115</v>
      </c>
    </row>
    <row r="165" spans="1:40" x14ac:dyDescent="0.35">
      <c r="A165">
        <v>18</v>
      </c>
      <c r="B165" t="str" cm="1">
        <f t="array" ref="B165">_xlfn.IFS(A165&lt;=25,"18-25",A165&lt;=33,"26-33",A165&lt;=41,"34-41",A165&lt;=49,"42-49",A165&gt;49,"50 or above")</f>
        <v>18-25</v>
      </c>
      <c r="C165" t="s">
        <v>62</v>
      </c>
      <c r="D165" t="s">
        <v>63</v>
      </c>
      <c r="E165" t="s">
        <v>64</v>
      </c>
      <c r="F165" t="s">
        <v>90</v>
      </c>
      <c r="G165" t="s">
        <v>66</v>
      </c>
      <c r="H165" t="s">
        <v>66</v>
      </c>
      <c r="I165">
        <v>1</v>
      </c>
      <c r="J165" t="s">
        <v>67</v>
      </c>
      <c r="K165" t="s">
        <v>68</v>
      </c>
      <c r="L165" t="s">
        <v>69</v>
      </c>
      <c r="P165" t="s">
        <v>67</v>
      </c>
      <c r="Q165" t="s">
        <v>103</v>
      </c>
      <c r="R165" t="s">
        <v>92</v>
      </c>
      <c r="S165" t="s">
        <v>107</v>
      </c>
      <c r="T165" t="s">
        <v>73</v>
      </c>
      <c r="U165" t="s">
        <v>74</v>
      </c>
      <c r="V165" t="s">
        <v>75</v>
      </c>
      <c r="W165" t="s">
        <v>76</v>
      </c>
      <c r="X165" t="s">
        <v>77</v>
      </c>
      <c r="Y165" t="s">
        <v>108</v>
      </c>
      <c r="Z165" t="str">
        <f>_xlfn.TEXTJOIN(",",TRUE,Table1[[#This Row],[Col5]],Table1[[#This Row],[Col4]],Table1[[#This Row],[Col3]],Table1[[#This Row],[Col2]],Table1[[#This Row],[Col1]])</f>
        <v xml:space="preserve"> Medicines, Personal Care, Daily Essentials, Snacks and Beverages,Groceries</v>
      </c>
      <c r="AA165" t="s">
        <v>80</v>
      </c>
      <c r="AB165" t="s">
        <v>78</v>
      </c>
      <c r="AC165" t="s">
        <v>80</v>
      </c>
      <c r="AD165" t="s">
        <v>78</v>
      </c>
      <c r="AE165" t="s">
        <v>78</v>
      </c>
      <c r="AF165" t="s">
        <v>78</v>
      </c>
      <c r="AG165" t="s">
        <v>80</v>
      </c>
      <c r="AH165" t="s">
        <v>80</v>
      </c>
      <c r="AI165" t="s">
        <v>78</v>
      </c>
      <c r="AJ165" t="s">
        <v>78</v>
      </c>
      <c r="AK165">
        <v>5</v>
      </c>
      <c r="AL165">
        <v>5</v>
      </c>
      <c r="AM165">
        <v>5</v>
      </c>
      <c r="AN165" t="s">
        <v>104</v>
      </c>
    </row>
    <row r="166" spans="1:40" x14ac:dyDescent="0.35">
      <c r="A166">
        <v>29</v>
      </c>
      <c r="B166" t="str" cm="1">
        <f t="array" ref="B166">_xlfn.IFS(A166&lt;=25,"18-25",A166&lt;=33,"26-33",A166&lt;=41,"34-41",A166&lt;=49,"42-49",A166&gt;49,"50 or above")</f>
        <v>26-33</v>
      </c>
      <c r="C166" t="s">
        <v>62</v>
      </c>
      <c r="D166" t="s">
        <v>63</v>
      </c>
      <c r="E166" t="s">
        <v>86</v>
      </c>
      <c r="F166" t="s">
        <v>87</v>
      </c>
      <c r="G166" t="s">
        <v>66</v>
      </c>
      <c r="H166" t="s">
        <v>66</v>
      </c>
      <c r="I166">
        <v>1</v>
      </c>
      <c r="J166" t="s">
        <v>67</v>
      </c>
      <c r="K166" t="s">
        <v>68</v>
      </c>
      <c r="L166" t="s">
        <v>69</v>
      </c>
      <c r="P166" t="s">
        <v>93</v>
      </c>
      <c r="Q166" t="s">
        <v>70</v>
      </c>
      <c r="R166" t="s">
        <v>71</v>
      </c>
      <c r="S166" t="s">
        <v>72</v>
      </c>
      <c r="T166" t="s">
        <v>99</v>
      </c>
      <c r="U166" t="s">
        <v>74</v>
      </c>
      <c r="Z166" t="str">
        <f>_xlfn.TEXTJOIN(",",TRUE,Table1[[#This Row],[Col5]],Table1[[#This Row],[Col4]],Table1[[#This Row],[Col3]],Table1[[#This Row],[Col2]],Table1[[#This Row],[Col1]])</f>
        <v>Groceries</v>
      </c>
      <c r="AA166" t="s">
        <v>78</v>
      </c>
      <c r="AB166" t="s">
        <v>80</v>
      </c>
      <c r="AC166" t="s">
        <v>81</v>
      </c>
      <c r="AD166" t="s">
        <v>81</v>
      </c>
      <c r="AE166" t="s">
        <v>79</v>
      </c>
      <c r="AF166" t="s">
        <v>80</v>
      </c>
      <c r="AG166" t="s">
        <v>80</v>
      </c>
      <c r="AH166" t="s">
        <v>80</v>
      </c>
      <c r="AI166" t="s">
        <v>81</v>
      </c>
      <c r="AJ166" t="s">
        <v>78</v>
      </c>
      <c r="AK166">
        <v>5</v>
      </c>
      <c r="AL166">
        <v>5</v>
      </c>
      <c r="AM166">
        <v>5</v>
      </c>
      <c r="AN166" t="s">
        <v>104</v>
      </c>
    </row>
    <row r="167" spans="1:40" x14ac:dyDescent="0.35">
      <c r="A167">
        <v>30</v>
      </c>
      <c r="B167" t="str" cm="1">
        <f t="array" ref="B167">_xlfn.IFS(A167&lt;=25,"18-25",A167&lt;=33,"26-33",A167&lt;=41,"34-41",A167&lt;=49,"42-49",A167&gt;49,"50 or above")</f>
        <v>26-33</v>
      </c>
      <c r="C167" t="s">
        <v>62</v>
      </c>
      <c r="D167" t="s">
        <v>105</v>
      </c>
      <c r="E167" t="s">
        <v>86</v>
      </c>
      <c r="F167" t="s">
        <v>90</v>
      </c>
      <c r="G167" t="s">
        <v>66</v>
      </c>
      <c r="H167" t="s">
        <v>66</v>
      </c>
      <c r="I167">
        <v>1</v>
      </c>
      <c r="J167" t="s">
        <v>67</v>
      </c>
      <c r="K167" t="s">
        <v>68</v>
      </c>
      <c r="L167" t="s">
        <v>69</v>
      </c>
      <c r="P167" t="s">
        <v>67</v>
      </c>
      <c r="Q167" t="s">
        <v>70</v>
      </c>
      <c r="R167" t="s">
        <v>92</v>
      </c>
      <c r="S167" t="s">
        <v>72</v>
      </c>
      <c r="T167" t="s">
        <v>73</v>
      </c>
      <c r="V167" t="s">
        <v>96</v>
      </c>
      <c r="Z167" t="str">
        <f>_xlfn.TEXTJOIN(",",TRUE,Table1[[#This Row],[Col5]],Table1[[#This Row],[Col4]],Table1[[#This Row],[Col3]],Table1[[#This Row],[Col2]],Table1[[#This Row],[Col1]])</f>
        <v>Snacks and Beverages</v>
      </c>
      <c r="AA167" t="s">
        <v>80</v>
      </c>
      <c r="AB167" t="s">
        <v>81</v>
      </c>
      <c r="AC167" t="s">
        <v>81</v>
      </c>
      <c r="AD167" t="s">
        <v>78</v>
      </c>
      <c r="AE167" t="s">
        <v>80</v>
      </c>
      <c r="AF167" t="s">
        <v>78</v>
      </c>
      <c r="AG167" t="s">
        <v>80</v>
      </c>
      <c r="AH167" t="s">
        <v>81</v>
      </c>
      <c r="AI167" t="s">
        <v>80</v>
      </c>
      <c r="AJ167" t="s">
        <v>78</v>
      </c>
      <c r="AK167">
        <v>4</v>
      </c>
      <c r="AL167">
        <v>4</v>
      </c>
      <c r="AM167">
        <v>4</v>
      </c>
      <c r="AN167" t="s">
        <v>82</v>
      </c>
    </row>
    <row r="168" spans="1:40" x14ac:dyDescent="0.35">
      <c r="A168">
        <v>70</v>
      </c>
      <c r="B168" t="str" cm="1">
        <f t="array" ref="B168">_xlfn.IFS(A168&lt;=25,"18-25",A168&lt;=33,"26-33",A168&lt;=41,"34-41",A168&lt;=49,"42-49",A168&gt;49,"50 or above")</f>
        <v>50 or above</v>
      </c>
      <c r="C168" t="s">
        <v>62</v>
      </c>
      <c r="D168" t="s">
        <v>63</v>
      </c>
      <c r="E168" t="s">
        <v>86</v>
      </c>
      <c r="F168" t="s">
        <v>65</v>
      </c>
      <c r="G168" t="s">
        <v>66</v>
      </c>
      <c r="H168" t="s">
        <v>66</v>
      </c>
      <c r="I168">
        <v>1</v>
      </c>
      <c r="J168" t="s">
        <v>67</v>
      </c>
      <c r="K168" t="s">
        <v>68</v>
      </c>
      <c r="L168" t="s">
        <v>69</v>
      </c>
      <c r="P168" t="s">
        <v>67</v>
      </c>
      <c r="Q168" t="s">
        <v>70</v>
      </c>
      <c r="R168" t="s">
        <v>92</v>
      </c>
      <c r="S168" t="s">
        <v>95</v>
      </c>
      <c r="T168" t="s">
        <v>99</v>
      </c>
      <c r="U168" t="s">
        <v>74</v>
      </c>
      <c r="V168" t="s">
        <v>75</v>
      </c>
      <c r="W168" t="s">
        <v>76</v>
      </c>
      <c r="X168" t="s">
        <v>77</v>
      </c>
      <c r="Z168" t="str">
        <f>_xlfn.TEXTJOIN(",",TRUE,Table1[[#This Row],[Col5]],Table1[[#This Row],[Col4]],Table1[[#This Row],[Col3]],Table1[[#This Row],[Col2]],Table1[[#This Row],[Col1]])</f>
        <v xml:space="preserve"> Personal Care, Daily Essentials, Snacks and Beverages,Groceries</v>
      </c>
      <c r="AA168" t="s">
        <v>78</v>
      </c>
      <c r="AB168" t="s">
        <v>78</v>
      </c>
      <c r="AC168" t="s">
        <v>78</v>
      </c>
      <c r="AD168" t="s">
        <v>80</v>
      </c>
      <c r="AE168" t="s">
        <v>78</v>
      </c>
      <c r="AF168" t="s">
        <v>80</v>
      </c>
      <c r="AG168" t="s">
        <v>80</v>
      </c>
      <c r="AH168" t="s">
        <v>80</v>
      </c>
      <c r="AI168" t="s">
        <v>81</v>
      </c>
      <c r="AJ168" t="s">
        <v>78</v>
      </c>
      <c r="AK168">
        <v>4</v>
      </c>
      <c r="AL168">
        <v>4</v>
      </c>
      <c r="AM168">
        <v>4</v>
      </c>
      <c r="AN168" t="s">
        <v>115</v>
      </c>
    </row>
    <row r="169" spans="1:40" x14ac:dyDescent="0.35">
      <c r="A169">
        <v>31</v>
      </c>
      <c r="B169" t="str" cm="1">
        <f t="array" ref="B169">_xlfn.IFS(A169&lt;=25,"18-25",A169&lt;=33,"26-33",A169&lt;=41,"34-41",A169&lt;=49,"42-49",A169&gt;49,"50 or above")</f>
        <v>26-33</v>
      </c>
      <c r="C169" t="s">
        <v>62</v>
      </c>
      <c r="D169" t="s">
        <v>105</v>
      </c>
      <c r="E169" t="s">
        <v>109</v>
      </c>
      <c r="F169" t="s">
        <v>87</v>
      </c>
      <c r="G169" t="s">
        <v>66</v>
      </c>
      <c r="H169" t="s">
        <v>66</v>
      </c>
      <c r="I169">
        <v>1</v>
      </c>
      <c r="J169" t="s">
        <v>67</v>
      </c>
      <c r="O169" t="s">
        <v>111</v>
      </c>
      <c r="P169" t="s">
        <v>67</v>
      </c>
      <c r="Q169" t="s">
        <v>70</v>
      </c>
      <c r="R169" t="s">
        <v>92</v>
      </c>
      <c r="S169" t="s">
        <v>107</v>
      </c>
      <c r="T169" t="s">
        <v>73</v>
      </c>
      <c r="V169" t="s">
        <v>96</v>
      </c>
      <c r="Z169" t="str">
        <f>_xlfn.TEXTJOIN(",",TRUE,Table1[[#This Row],[Col5]],Table1[[#This Row],[Col4]],Table1[[#This Row],[Col3]],Table1[[#This Row],[Col2]],Table1[[#This Row],[Col1]])</f>
        <v>Snacks and Beverages</v>
      </c>
      <c r="AA169" t="s">
        <v>78</v>
      </c>
      <c r="AB169" t="s">
        <v>80</v>
      </c>
      <c r="AC169" t="s">
        <v>81</v>
      </c>
      <c r="AD169" t="s">
        <v>81</v>
      </c>
      <c r="AE169" t="s">
        <v>81</v>
      </c>
      <c r="AF169" t="s">
        <v>78</v>
      </c>
      <c r="AG169" t="s">
        <v>78</v>
      </c>
      <c r="AH169" t="s">
        <v>80</v>
      </c>
      <c r="AI169" t="s">
        <v>79</v>
      </c>
      <c r="AJ169" t="s">
        <v>80</v>
      </c>
      <c r="AK169">
        <v>4</v>
      </c>
      <c r="AL169">
        <v>3</v>
      </c>
      <c r="AM169">
        <v>4</v>
      </c>
      <c r="AN169" t="s">
        <v>82</v>
      </c>
    </row>
    <row r="170" spans="1:40" x14ac:dyDescent="0.35">
      <c r="A170">
        <v>70</v>
      </c>
      <c r="B170" t="str" cm="1">
        <f t="array" ref="B170">_xlfn.IFS(A170&lt;=25,"18-25",A170&lt;=33,"26-33",A170&lt;=41,"34-41",A170&lt;=49,"42-49",A170&gt;49,"50 or above")</f>
        <v>50 or above</v>
      </c>
      <c r="C170" t="s">
        <v>62</v>
      </c>
      <c r="D170" t="s">
        <v>120</v>
      </c>
      <c r="E170" t="s">
        <v>136</v>
      </c>
      <c r="F170" t="s">
        <v>102</v>
      </c>
      <c r="G170" t="s">
        <v>66</v>
      </c>
      <c r="H170" t="s">
        <v>66</v>
      </c>
      <c r="I170">
        <v>1</v>
      </c>
      <c r="J170" t="s">
        <v>67</v>
      </c>
      <c r="P170" t="s">
        <v>67</v>
      </c>
      <c r="Q170" t="s">
        <v>70</v>
      </c>
      <c r="R170" t="s">
        <v>71</v>
      </c>
      <c r="S170" t="s">
        <v>95</v>
      </c>
      <c r="T170" t="s">
        <v>99</v>
      </c>
      <c r="U170" t="s">
        <v>74</v>
      </c>
      <c r="V170" t="s">
        <v>75</v>
      </c>
      <c r="W170" t="s">
        <v>76</v>
      </c>
      <c r="X170" t="s">
        <v>77</v>
      </c>
      <c r="Z170" t="str">
        <f>_xlfn.TEXTJOIN(",",TRUE,Table1[[#This Row],[Col5]],Table1[[#This Row],[Col4]],Table1[[#This Row],[Col3]],Table1[[#This Row],[Col2]],Table1[[#This Row],[Col1]])</f>
        <v xml:space="preserve"> Personal Care, Daily Essentials, Snacks and Beverages,Groceries</v>
      </c>
      <c r="AA170" t="s">
        <v>80</v>
      </c>
      <c r="AB170" t="s">
        <v>80</v>
      </c>
      <c r="AC170" t="s">
        <v>80</v>
      </c>
      <c r="AD170" t="s">
        <v>80</v>
      </c>
      <c r="AE170" t="s">
        <v>80</v>
      </c>
      <c r="AF170" t="s">
        <v>80</v>
      </c>
      <c r="AG170" t="s">
        <v>80</v>
      </c>
      <c r="AH170" t="s">
        <v>80</v>
      </c>
      <c r="AI170" t="s">
        <v>78</v>
      </c>
      <c r="AJ170" t="s">
        <v>78</v>
      </c>
      <c r="AK170">
        <v>3</v>
      </c>
      <c r="AL170">
        <v>5</v>
      </c>
      <c r="AM170">
        <v>4</v>
      </c>
      <c r="AN170" t="s">
        <v>97</v>
      </c>
    </row>
    <row r="171" spans="1:40" x14ac:dyDescent="0.35">
      <c r="A171">
        <v>27</v>
      </c>
      <c r="B171" t="str" cm="1">
        <f t="array" ref="B171">_xlfn.IFS(A171&lt;=25,"18-25",A171&lt;=33,"26-33",A171&lt;=41,"34-41",A171&lt;=49,"42-49",A171&gt;49,"50 or above")</f>
        <v>26-33</v>
      </c>
      <c r="C171" t="s">
        <v>62</v>
      </c>
      <c r="D171" t="s">
        <v>105</v>
      </c>
      <c r="E171" t="s">
        <v>86</v>
      </c>
      <c r="F171" t="s">
        <v>87</v>
      </c>
      <c r="G171" t="s">
        <v>66</v>
      </c>
      <c r="H171" t="s">
        <v>66</v>
      </c>
      <c r="I171">
        <v>1</v>
      </c>
      <c r="L171" t="s">
        <v>91</v>
      </c>
      <c r="P171" t="s">
        <v>67</v>
      </c>
      <c r="Q171" t="s">
        <v>70</v>
      </c>
      <c r="R171" t="s">
        <v>71</v>
      </c>
      <c r="S171" t="s">
        <v>72</v>
      </c>
      <c r="T171" t="s">
        <v>73</v>
      </c>
      <c r="U171" t="s">
        <v>74</v>
      </c>
      <c r="V171" t="s">
        <v>75</v>
      </c>
      <c r="W171" t="s">
        <v>76</v>
      </c>
      <c r="X171" t="s">
        <v>77</v>
      </c>
      <c r="Z171" t="str">
        <f>_xlfn.TEXTJOIN(",",TRUE,Table1[[#This Row],[Col5]],Table1[[#This Row],[Col4]],Table1[[#This Row],[Col3]],Table1[[#This Row],[Col2]],Table1[[#This Row],[Col1]])</f>
        <v xml:space="preserve"> Personal Care, Daily Essentials, Snacks and Beverages,Groceries</v>
      </c>
      <c r="AA171" t="s">
        <v>78</v>
      </c>
      <c r="AB171" t="s">
        <v>80</v>
      </c>
      <c r="AC171" t="s">
        <v>81</v>
      </c>
      <c r="AD171" t="s">
        <v>80</v>
      </c>
      <c r="AE171" t="s">
        <v>81</v>
      </c>
      <c r="AF171" t="s">
        <v>80</v>
      </c>
      <c r="AG171" t="s">
        <v>79</v>
      </c>
      <c r="AH171" t="s">
        <v>80</v>
      </c>
      <c r="AI171" t="s">
        <v>81</v>
      </c>
      <c r="AJ171" t="s">
        <v>80</v>
      </c>
      <c r="AK171">
        <v>5</v>
      </c>
      <c r="AL171">
        <v>5</v>
      </c>
      <c r="AM171">
        <v>2</v>
      </c>
      <c r="AN171" t="s">
        <v>115</v>
      </c>
    </row>
    <row r="172" spans="1:40" x14ac:dyDescent="0.35">
      <c r="A172">
        <v>56</v>
      </c>
      <c r="B172" t="str" cm="1">
        <f t="array" ref="B172">_xlfn.IFS(A172&lt;=25,"18-25",A172&lt;=33,"26-33",A172&lt;=41,"34-41",A172&lt;=49,"42-49",A172&gt;49,"50 or above")</f>
        <v>50 or above</v>
      </c>
      <c r="C172" t="s">
        <v>62</v>
      </c>
      <c r="D172" t="s">
        <v>116</v>
      </c>
      <c r="E172" t="s">
        <v>86</v>
      </c>
      <c r="F172" t="s">
        <v>87</v>
      </c>
      <c r="G172" t="s">
        <v>66</v>
      </c>
      <c r="H172" t="s">
        <v>66</v>
      </c>
      <c r="I172">
        <v>1</v>
      </c>
      <c r="J172" t="s">
        <v>67</v>
      </c>
      <c r="K172" t="s">
        <v>68</v>
      </c>
      <c r="P172" t="s">
        <v>67</v>
      </c>
      <c r="Q172" t="s">
        <v>117</v>
      </c>
      <c r="R172" t="s">
        <v>94</v>
      </c>
      <c r="S172" t="s">
        <v>95</v>
      </c>
      <c r="T172" t="s">
        <v>99</v>
      </c>
      <c r="U172" t="s">
        <v>74</v>
      </c>
      <c r="V172" t="s">
        <v>75</v>
      </c>
      <c r="W172" t="s">
        <v>76</v>
      </c>
      <c r="X172" t="s">
        <v>77</v>
      </c>
      <c r="Z172" t="str">
        <f>_xlfn.TEXTJOIN(",",TRUE,Table1[[#This Row],[Col5]],Table1[[#This Row],[Col4]],Table1[[#This Row],[Col3]],Table1[[#This Row],[Col2]],Table1[[#This Row],[Col1]])</f>
        <v xml:space="preserve"> Personal Care, Daily Essentials, Snacks and Beverages,Groceries</v>
      </c>
      <c r="AA172" t="s">
        <v>78</v>
      </c>
      <c r="AB172" t="s">
        <v>80</v>
      </c>
      <c r="AC172" t="s">
        <v>80</v>
      </c>
      <c r="AD172" t="s">
        <v>80</v>
      </c>
      <c r="AE172" t="s">
        <v>80</v>
      </c>
      <c r="AF172" t="s">
        <v>80</v>
      </c>
      <c r="AG172" t="s">
        <v>80</v>
      </c>
      <c r="AH172" t="s">
        <v>78</v>
      </c>
      <c r="AI172" t="s">
        <v>78</v>
      </c>
      <c r="AJ172" t="s">
        <v>80</v>
      </c>
      <c r="AK172">
        <v>5</v>
      </c>
      <c r="AL172">
        <v>4</v>
      </c>
      <c r="AM172">
        <v>3</v>
      </c>
      <c r="AN172" t="s">
        <v>133</v>
      </c>
    </row>
    <row r="173" spans="1:40" x14ac:dyDescent="0.35">
      <c r="A173">
        <v>23</v>
      </c>
      <c r="B173" t="str" cm="1">
        <f t="array" ref="B173">_xlfn.IFS(A173&lt;=25,"18-25",A173&lt;=33,"26-33",A173&lt;=41,"34-41",A173&lt;=49,"42-49",A173&gt;49,"50 or above")</f>
        <v>18-25</v>
      </c>
      <c r="C173" t="s">
        <v>62</v>
      </c>
      <c r="D173" t="s">
        <v>63</v>
      </c>
      <c r="E173" t="s">
        <v>86</v>
      </c>
      <c r="F173" t="s">
        <v>87</v>
      </c>
      <c r="G173" t="s">
        <v>66</v>
      </c>
      <c r="H173" t="s">
        <v>66</v>
      </c>
      <c r="I173">
        <v>1</v>
      </c>
      <c r="J173" t="s">
        <v>67</v>
      </c>
      <c r="K173" t="s">
        <v>68</v>
      </c>
      <c r="L173" t="s">
        <v>69</v>
      </c>
      <c r="P173" t="s">
        <v>67</v>
      </c>
      <c r="Q173" t="s">
        <v>70</v>
      </c>
      <c r="R173" t="s">
        <v>92</v>
      </c>
      <c r="S173" t="s">
        <v>107</v>
      </c>
      <c r="T173" t="s">
        <v>73</v>
      </c>
      <c r="U173" t="s">
        <v>74</v>
      </c>
      <c r="V173" t="s">
        <v>75</v>
      </c>
      <c r="W173" t="s">
        <v>76</v>
      </c>
      <c r="X173" t="s">
        <v>77</v>
      </c>
      <c r="Z173" t="str">
        <f>_xlfn.TEXTJOIN(",",TRUE,Table1[[#This Row],[Col5]],Table1[[#This Row],[Col4]],Table1[[#This Row],[Col3]],Table1[[#This Row],[Col2]],Table1[[#This Row],[Col1]])</f>
        <v xml:space="preserve"> Personal Care, Daily Essentials, Snacks and Beverages,Groceries</v>
      </c>
      <c r="AA173" t="s">
        <v>78</v>
      </c>
      <c r="AB173" t="s">
        <v>78</v>
      </c>
      <c r="AC173" t="s">
        <v>78</v>
      </c>
      <c r="AD173" t="s">
        <v>81</v>
      </c>
      <c r="AE173" t="s">
        <v>81</v>
      </c>
      <c r="AF173" t="s">
        <v>78</v>
      </c>
      <c r="AG173" t="s">
        <v>78</v>
      </c>
      <c r="AH173" t="s">
        <v>81</v>
      </c>
      <c r="AI173" t="s">
        <v>80</v>
      </c>
      <c r="AJ173" t="s">
        <v>80</v>
      </c>
      <c r="AK173">
        <v>5</v>
      </c>
      <c r="AL173">
        <v>3</v>
      </c>
      <c r="AM173">
        <v>5</v>
      </c>
      <c r="AN173" t="s">
        <v>82</v>
      </c>
    </row>
    <row r="174" spans="1:40" x14ac:dyDescent="0.35">
      <c r="A174">
        <v>27</v>
      </c>
      <c r="B174" t="str" cm="1">
        <f t="array" ref="B174">_xlfn.IFS(A174&lt;=25,"18-25",A174&lt;=33,"26-33",A174&lt;=41,"34-41",A174&lt;=49,"42-49",A174&gt;49,"50 or above")</f>
        <v>26-33</v>
      </c>
      <c r="C174" t="s">
        <v>62</v>
      </c>
      <c r="D174" t="s">
        <v>63</v>
      </c>
      <c r="E174" t="s">
        <v>109</v>
      </c>
      <c r="F174" t="s">
        <v>87</v>
      </c>
      <c r="G174" t="s">
        <v>66</v>
      </c>
      <c r="H174" t="s">
        <v>66</v>
      </c>
      <c r="I174">
        <v>1</v>
      </c>
      <c r="J174" t="s">
        <v>67</v>
      </c>
      <c r="K174" t="s">
        <v>68</v>
      </c>
      <c r="P174" t="s">
        <v>93</v>
      </c>
      <c r="Q174" t="s">
        <v>103</v>
      </c>
      <c r="R174" t="s">
        <v>92</v>
      </c>
      <c r="S174" t="s">
        <v>107</v>
      </c>
      <c r="T174" t="s">
        <v>73</v>
      </c>
      <c r="U174" t="s">
        <v>74</v>
      </c>
      <c r="V174" t="s">
        <v>75</v>
      </c>
      <c r="Z174" t="str">
        <f>_xlfn.TEXTJOIN(",",TRUE,Table1[[#This Row],[Col5]],Table1[[#This Row],[Col4]],Table1[[#This Row],[Col3]],Table1[[#This Row],[Col2]],Table1[[#This Row],[Col1]])</f>
        <v xml:space="preserve"> Snacks and Beverages,Groceries</v>
      </c>
      <c r="AA174" t="s">
        <v>78</v>
      </c>
      <c r="AB174" t="s">
        <v>81</v>
      </c>
      <c r="AC174" t="s">
        <v>81</v>
      </c>
      <c r="AD174" t="s">
        <v>80</v>
      </c>
      <c r="AE174" t="s">
        <v>79</v>
      </c>
      <c r="AF174" t="s">
        <v>80</v>
      </c>
      <c r="AG174" t="s">
        <v>80</v>
      </c>
      <c r="AH174" t="s">
        <v>81</v>
      </c>
      <c r="AI174" t="s">
        <v>78</v>
      </c>
      <c r="AJ174" t="s">
        <v>80</v>
      </c>
      <c r="AK174">
        <v>3</v>
      </c>
      <c r="AL174">
        <v>5</v>
      </c>
      <c r="AM174">
        <v>5</v>
      </c>
      <c r="AN174" t="s">
        <v>115</v>
      </c>
    </row>
    <row r="175" spans="1:40" x14ac:dyDescent="0.35">
      <c r="A175">
        <v>56</v>
      </c>
      <c r="B175" t="str" cm="1">
        <f t="array" ref="B175">_xlfn.IFS(A175&lt;=25,"18-25",A175&lt;=33,"26-33",A175&lt;=41,"34-41",A175&lt;=49,"42-49",A175&gt;49,"50 or above")</f>
        <v>50 or above</v>
      </c>
      <c r="C175" t="s">
        <v>62</v>
      </c>
      <c r="D175" t="s">
        <v>105</v>
      </c>
      <c r="E175" t="s">
        <v>109</v>
      </c>
      <c r="F175" t="s">
        <v>87</v>
      </c>
      <c r="G175" t="s">
        <v>66</v>
      </c>
      <c r="H175" t="s">
        <v>66</v>
      </c>
      <c r="I175">
        <v>1</v>
      </c>
      <c r="K175" t="s">
        <v>93</v>
      </c>
      <c r="L175" t="s">
        <v>69</v>
      </c>
      <c r="P175" t="s">
        <v>91</v>
      </c>
      <c r="Q175" t="s">
        <v>70</v>
      </c>
      <c r="R175" t="s">
        <v>94</v>
      </c>
      <c r="S175" t="s">
        <v>113</v>
      </c>
      <c r="T175" t="s">
        <v>99</v>
      </c>
      <c r="U175" t="s">
        <v>74</v>
      </c>
      <c r="Z175" t="str">
        <f>_xlfn.TEXTJOIN(",",TRUE,Table1[[#This Row],[Col5]],Table1[[#This Row],[Col4]],Table1[[#This Row],[Col3]],Table1[[#This Row],[Col2]],Table1[[#This Row],[Col1]])</f>
        <v>Groceries</v>
      </c>
      <c r="AA175" t="s">
        <v>81</v>
      </c>
      <c r="AB175" t="s">
        <v>81</v>
      </c>
      <c r="AC175" t="s">
        <v>78</v>
      </c>
      <c r="AD175" t="s">
        <v>81</v>
      </c>
      <c r="AE175" t="s">
        <v>78</v>
      </c>
      <c r="AF175" t="s">
        <v>80</v>
      </c>
      <c r="AG175" t="s">
        <v>79</v>
      </c>
      <c r="AH175" t="s">
        <v>80</v>
      </c>
      <c r="AI175" t="s">
        <v>81</v>
      </c>
      <c r="AJ175" t="s">
        <v>81</v>
      </c>
      <c r="AK175">
        <v>5</v>
      </c>
      <c r="AL175">
        <v>4</v>
      </c>
      <c r="AM175">
        <v>4</v>
      </c>
      <c r="AN175" t="s">
        <v>128</v>
      </c>
    </row>
    <row r="176" spans="1:40" x14ac:dyDescent="0.35">
      <c r="A176">
        <v>26</v>
      </c>
      <c r="B176" t="str" cm="1">
        <f t="array" ref="B176">_xlfn.IFS(A176&lt;=25,"18-25",A176&lt;=33,"26-33",A176&lt;=41,"34-41",A176&lt;=49,"42-49",A176&gt;49,"50 or above")</f>
        <v>26-33</v>
      </c>
      <c r="C176" t="s">
        <v>62</v>
      </c>
      <c r="D176" t="s">
        <v>105</v>
      </c>
      <c r="E176" t="s">
        <v>86</v>
      </c>
      <c r="F176" t="s">
        <v>87</v>
      </c>
      <c r="G176" t="s">
        <v>66</v>
      </c>
      <c r="H176" t="s">
        <v>66</v>
      </c>
      <c r="I176">
        <v>1</v>
      </c>
      <c r="J176" t="s">
        <v>67</v>
      </c>
      <c r="K176" t="s">
        <v>68</v>
      </c>
      <c r="L176" t="s">
        <v>69</v>
      </c>
      <c r="P176" t="s">
        <v>93</v>
      </c>
      <c r="Q176" t="s">
        <v>103</v>
      </c>
      <c r="R176" t="s">
        <v>92</v>
      </c>
      <c r="S176" t="s">
        <v>95</v>
      </c>
      <c r="T176" t="s">
        <v>73</v>
      </c>
      <c r="V176" t="s">
        <v>96</v>
      </c>
      <c r="W176" t="s">
        <v>76</v>
      </c>
      <c r="Z176" t="str">
        <f>_xlfn.TEXTJOIN(",",TRUE,Table1[[#This Row],[Col5]],Table1[[#This Row],[Col4]],Table1[[#This Row],[Col3]],Table1[[#This Row],[Col2]],Table1[[#This Row],[Col1]])</f>
        <v xml:space="preserve"> Daily Essentials,Snacks and Beverages</v>
      </c>
      <c r="AA176" t="s">
        <v>78</v>
      </c>
      <c r="AB176" t="s">
        <v>80</v>
      </c>
      <c r="AC176" t="s">
        <v>80</v>
      </c>
      <c r="AD176" t="s">
        <v>81</v>
      </c>
      <c r="AE176" t="s">
        <v>101</v>
      </c>
      <c r="AF176" t="s">
        <v>78</v>
      </c>
      <c r="AG176" t="s">
        <v>80</v>
      </c>
      <c r="AH176" t="s">
        <v>80</v>
      </c>
      <c r="AI176" t="s">
        <v>80</v>
      </c>
      <c r="AJ176" t="s">
        <v>80</v>
      </c>
      <c r="AK176">
        <v>5</v>
      </c>
      <c r="AL176">
        <v>5</v>
      </c>
      <c r="AM176">
        <v>4</v>
      </c>
      <c r="AN176" t="s">
        <v>97</v>
      </c>
    </row>
    <row r="177" spans="1:40" x14ac:dyDescent="0.35">
      <c r="A177">
        <v>60</v>
      </c>
      <c r="B177" t="str" cm="1">
        <f t="array" ref="B177">_xlfn.IFS(A177&lt;=25,"18-25",A177&lt;=33,"26-33",A177&lt;=41,"34-41",A177&lt;=49,"42-49",A177&gt;49,"50 or above")</f>
        <v>50 or above</v>
      </c>
      <c r="C177" t="s">
        <v>62</v>
      </c>
      <c r="D177" t="s">
        <v>105</v>
      </c>
      <c r="E177" t="s">
        <v>136</v>
      </c>
      <c r="F177" t="s">
        <v>102</v>
      </c>
      <c r="G177" t="s">
        <v>66</v>
      </c>
      <c r="H177" t="s">
        <v>66</v>
      </c>
      <c r="I177">
        <v>1</v>
      </c>
      <c r="J177" t="s">
        <v>67</v>
      </c>
      <c r="K177" t="s">
        <v>68</v>
      </c>
      <c r="P177" t="s">
        <v>67</v>
      </c>
      <c r="Q177" t="s">
        <v>103</v>
      </c>
      <c r="R177" t="s">
        <v>71</v>
      </c>
      <c r="S177" t="s">
        <v>107</v>
      </c>
      <c r="T177" t="s">
        <v>73</v>
      </c>
      <c r="V177" t="s">
        <v>96</v>
      </c>
      <c r="Z177" t="str">
        <f>_xlfn.TEXTJOIN(",",TRUE,Table1[[#This Row],[Col5]],Table1[[#This Row],[Col4]],Table1[[#This Row],[Col3]],Table1[[#This Row],[Col2]],Table1[[#This Row],[Col1]])</f>
        <v>Snacks and Beverages</v>
      </c>
      <c r="AA177" t="s">
        <v>78</v>
      </c>
      <c r="AB177" t="s">
        <v>81</v>
      </c>
      <c r="AC177" t="s">
        <v>78</v>
      </c>
      <c r="AD177" t="s">
        <v>78</v>
      </c>
      <c r="AE177" t="s">
        <v>81</v>
      </c>
      <c r="AF177" t="s">
        <v>80</v>
      </c>
      <c r="AG177" t="s">
        <v>78</v>
      </c>
      <c r="AH177" t="s">
        <v>78</v>
      </c>
      <c r="AI177" t="s">
        <v>78</v>
      </c>
      <c r="AJ177" t="s">
        <v>81</v>
      </c>
      <c r="AK177">
        <v>4</v>
      </c>
      <c r="AL177">
        <v>4</v>
      </c>
      <c r="AM177">
        <v>4</v>
      </c>
      <c r="AN177" t="s">
        <v>104</v>
      </c>
    </row>
    <row r="178" spans="1:40" x14ac:dyDescent="0.35">
      <c r="A178">
        <v>18</v>
      </c>
      <c r="B178" t="str" cm="1">
        <f t="array" ref="B178">_xlfn.IFS(A178&lt;=25,"18-25",A178&lt;=33,"26-33",A178&lt;=41,"34-41",A178&lt;=49,"42-49",A178&gt;49,"50 or above")</f>
        <v>18-25</v>
      </c>
      <c r="C178" t="s">
        <v>62</v>
      </c>
      <c r="D178" t="s">
        <v>116</v>
      </c>
      <c r="E178" t="s">
        <v>64</v>
      </c>
      <c r="F178" t="s">
        <v>87</v>
      </c>
      <c r="G178" t="s">
        <v>66</v>
      </c>
      <c r="H178" t="s">
        <v>66</v>
      </c>
      <c r="I178">
        <v>1</v>
      </c>
      <c r="J178" t="s">
        <v>67</v>
      </c>
      <c r="K178" t="s">
        <v>68</v>
      </c>
      <c r="L178" t="s">
        <v>69</v>
      </c>
      <c r="P178" t="s">
        <v>67</v>
      </c>
      <c r="Q178" t="s">
        <v>70</v>
      </c>
      <c r="R178" t="s">
        <v>92</v>
      </c>
      <c r="S178" t="s">
        <v>72</v>
      </c>
      <c r="T178" t="s">
        <v>112</v>
      </c>
      <c r="U178" t="s">
        <v>74</v>
      </c>
      <c r="V178" t="s">
        <v>75</v>
      </c>
      <c r="W178" t="s">
        <v>76</v>
      </c>
      <c r="X178" t="s">
        <v>77</v>
      </c>
      <c r="Z178" t="str">
        <f>_xlfn.TEXTJOIN(",",TRUE,Table1[[#This Row],[Col5]],Table1[[#This Row],[Col4]],Table1[[#This Row],[Col3]],Table1[[#This Row],[Col2]],Table1[[#This Row],[Col1]])</f>
        <v xml:space="preserve"> Personal Care, Daily Essentials, Snacks and Beverages,Groceries</v>
      </c>
      <c r="AA178" t="s">
        <v>78</v>
      </c>
      <c r="AB178" t="s">
        <v>80</v>
      </c>
      <c r="AC178" t="s">
        <v>80</v>
      </c>
      <c r="AD178" t="s">
        <v>80</v>
      </c>
      <c r="AE178" t="s">
        <v>78</v>
      </c>
      <c r="AF178" t="s">
        <v>80</v>
      </c>
      <c r="AG178" t="s">
        <v>78</v>
      </c>
      <c r="AH178" t="s">
        <v>80</v>
      </c>
      <c r="AI178" t="s">
        <v>78</v>
      </c>
      <c r="AJ178" t="s">
        <v>81</v>
      </c>
      <c r="AK178">
        <v>3</v>
      </c>
      <c r="AL178">
        <v>5</v>
      </c>
      <c r="AM178">
        <v>4</v>
      </c>
      <c r="AN178" t="s">
        <v>82</v>
      </c>
    </row>
    <row r="179" spans="1:40" x14ac:dyDescent="0.35">
      <c r="A179">
        <v>30</v>
      </c>
      <c r="B179" t="str" cm="1">
        <f t="array" ref="B179">_xlfn.IFS(A179&lt;=25,"18-25",A179&lt;=33,"26-33",A179&lt;=41,"34-41",A179&lt;=49,"42-49",A179&gt;49,"50 or above")</f>
        <v>26-33</v>
      </c>
      <c r="C179" t="s">
        <v>62</v>
      </c>
      <c r="D179" t="s">
        <v>63</v>
      </c>
      <c r="E179" t="s">
        <v>86</v>
      </c>
      <c r="F179" t="s">
        <v>102</v>
      </c>
      <c r="G179" t="s">
        <v>66</v>
      </c>
      <c r="H179" t="s">
        <v>66</v>
      </c>
      <c r="I179">
        <v>1</v>
      </c>
      <c r="J179" t="s">
        <v>67</v>
      </c>
      <c r="K179" t="s">
        <v>68</v>
      </c>
      <c r="L179" t="s">
        <v>69</v>
      </c>
      <c r="P179" t="s">
        <v>67</v>
      </c>
      <c r="Q179" t="s">
        <v>70</v>
      </c>
      <c r="R179" t="s">
        <v>92</v>
      </c>
      <c r="S179" t="s">
        <v>113</v>
      </c>
      <c r="T179" t="s">
        <v>99</v>
      </c>
      <c r="V179" t="s">
        <v>96</v>
      </c>
      <c r="W179" t="s">
        <v>76</v>
      </c>
      <c r="Z179" t="str">
        <f>_xlfn.TEXTJOIN(",",TRUE,Table1[[#This Row],[Col5]],Table1[[#This Row],[Col4]],Table1[[#This Row],[Col3]],Table1[[#This Row],[Col2]],Table1[[#This Row],[Col1]])</f>
        <v xml:space="preserve"> Daily Essentials,Snacks and Beverages</v>
      </c>
      <c r="AA179" t="s">
        <v>80</v>
      </c>
      <c r="AB179" t="s">
        <v>81</v>
      </c>
      <c r="AC179" t="s">
        <v>80</v>
      </c>
      <c r="AD179" t="s">
        <v>80</v>
      </c>
      <c r="AE179" t="s">
        <v>80</v>
      </c>
      <c r="AF179" t="s">
        <v>78</v>
      </c>
      <c r="AG179" t="s">
        <v>78</v>
      </c>
      <c r="AH179" t="s">
        <v>79</v>
      </c>
      <c r="AI179" t="s">
        <v>79</v>
      </c>
      <c r="AJ179" t="s">
        <v>81</v>
      </c>
      <c r="AK179">
        <v>3</v>
      </c>
      <c r="AL179">
        <v>5</v>
      </c>
      <c r="AM179">
        <v>5</v>
      </c>
      <c r="AN179" t="s">
        <v>82</v>
      </c>
    </row>
    <row r="180" spans="1:40" x14ac:dyDescent="0.35">
      <c r="A180">
        <v>20</v>
      </c>
      <c r="B180" t="str" cm="1">
        <f t="array" ref="B180">_xlfn.IFS(A180&lt;=25,"18-25",A180&lt;=33,"26-33",A180&lt;=41,"34-41",A180&lt;=49,"42-49",A180&gt;49,"50 or above")</f>
        <v>18-25</v>
      </c>
      <c r="C180" t="s">
        <v>62</v>
      </c>
      <c r="D180" t="s">
        <v>120</v>
      </c>
      <c r="E180" t="s">
        <v>86</v>
      </c>
      <c r="F180" t="s">
        <v>87</v>
      </c>
      <c r="G180" t="s">
        <v>66</v>
      </c>
      <c r="H180" t="s">
        <v>66</v>
      </c>
      <c r="I180">
        <v>1</v>
      </c>
      <c r="J180" t="s">
        <v>67</v>
      </c>
      <c r="P180" t="s">
        <v>67</v>
      </c>
      <c r="Q180" t="s">
        <v>70</v>
      </c>
      <c r="R180" t="s">
        <v>71</v>
      </c>
      <c r="S180" t="s">
        <v>72</v>
      </c>
      <c r="T180" t="s">
        <v>73</v>
      </c>
      <c r="V180" t="s">
        <v>96</v>
      </c>
      <c r="W180" t="s">
        <v>76</v>
      </c>
      <c r="X180" t="s">
        <v>77</v>
      </c>
      <c r="Z180" t="str">
        <f>_xlfn.TEXTJOIN(",",TRUE,Table1[[#This Row],[Col5]],Table1[[#This Row],[Col4]],Table1[[#This Row],[Col3]],Table1[[#This Row],[Col2]],Table1[[#This Row],[Col1]])</f>
        <v xml:space="preserve"> Personal Care, Daily Essentials,Snacks and Beverages</v>
      </c>
      <c r="AA180" t="s">
        <v>80</v>
      </c>
      <c r="AB180" t="s">
        <v>80</v>
      </c>
      <c r="AC180" t="s">
        <v>80</v>
      </c>
      <c r="AD180" t="s">
        <v>81</v>
      </c>
      <c r="AE180" t="s">
        <v>80</v>
      </c>
      <c r="AF180" t="s">
        <v>78</v>
      </c>
      <c r="AG180" t="s">
        <v>78</v>
      </c>
      <c r="AH180" t="s">
        <v>78</v>
      </c>
      <c r="AI180" t="s">
        <v>81</v>
      </c>
      <c r="AJ180" t="s">
        <v>79</v>
      </c>
      <c r="AK180">
        <v>5</v>
      </c>
      <c r="AL180">
        <v>5</v>
      </c>
      <c r="AM180">
        <v>1</v>
      </c>
      <c r="AN180" t="s">
        <v>104</v>
      </c>
    </row>
    <row r="181" spans="1:40" x14ac:dyDescent="0.35">
      <c r="A181">
        <v>45</v>
      </c>
      <c r="B181" t="str" cm="1">
        <f t="array" ref="B181">_xlfn.IFS(A181&lt;=25,"18-25",A181&lt;=33,"26-33",A181&lt;=41,"34-41",A181&lt;=49,"42-49",A181&gt;49,"50 or above")</f>
        <v>42-49</v>
      </c>
      <c r="C181" t="s">
        <v>62</v>
      </c>
      <c r="D181" t="s">
        <v>63</v>
      </c>
      <c r="E181" t="s">
        <v>86</v>
      </c>
      <c r="F181" t="s">
        <v>65</v>
      </c>
      <c r="G181" t="s">
        <v>66</v>
      </c>
      <c r="H181" t="s">
        <v>66</v>
      </c>
      <c r="I181">
        <v>1</v>
      </c>
      <c r="J181" t="s">
        <v>67</v>
      </c>
      <c r="P181" t="s">
        <v>67</v>
      </c>
      <c r="Q181" t="s">
        <v>117</v>
      </c>
      <c r="R181" t="s">
        <v>94</v>
      </c>
      <c r="S181" t="s">
        <v>72</v>
      </c>
      <c r="T181" t="s">
        <v>73</v>
      </c>
      <c r="U181" t="s">
        <v>74</v>
      </c>
      <c r="V181" t="s">
        <v>75</v>
      </c>
      <c r="W181" t="s">
        <v>76</v>
      </c>
      <c r="Z181" t="str">
        <f>_xlfn.TEXTJOIN(",",TRUE,Table1[[#This Row],[Col5]],Table1[[#This Row],[Col4]],Table1[[#This Row],[Col3]],Table1[[#This Row],[Col2]],Table1[[#This Row],[Col1]])</f>
        <v xml:space="preserve"> Daily Essentials, Snacks and Beverages,Groceries</v>
      </c>
      <c r="AA181" t="s">
        <v>79</v>
      </c>
      <c r="AB181" t="s">
        <v>81</v>
      </c>
      <c r="AC181" t="s">
        <v>80</v>
      </c>
      <c r="AD181" t="s">
        <v>81</v>
      </c>
      <c r="AE181" t="s">
        <v>80</v>
      </c>
      <c r="AF181" t="s">
        <v>81</v>
      </c>
      <c r="AG181" t="s">
        <v>81</v>
      </c>
      <c r="AH181" t="s">
        <v>80</v>
      </c>
      <c r="AI181" t="s">
        <v>81</v>
      </c>
      <c r="AJ181" t="s">
        <v>80</v>
      </c>
      <c r="AK181">
        <v>4</v>
      </c>
      <c r="AL181">
        <v>3</v>
      </c>
      <c r="AM181">
        <v>4</v>
      </c>
      <c r="AN181" t="s">
        <v>82</v>
      </c>
    </row>
    <row r="182" spans="1:40" x14ac:dyDescent="0.35">
      <c r="A182">
        <v>56</v>
      </c>
      <c r="B182" t="str" cm="1">
        <f t="array" ref="B182">_xlfn.IFS(A182&lt;=25,"18-25",A182&lt;=33,"26-33",A182&lt;=41,"34-41",A182&lt;=49,"42-49",A182&gt;49,"50 or above")</f>
        <v>50 or above</v>
      </c>
      <c r="C182" t="s">
        <v>62</v>
      </c>
      <c r="D182" t="s">
        <v>116</v>
      </c>
      <c r="E182" t="s">
        <v>136</v>
      </c>
      <c r="F182" t="s">
        <v>65</v>
      </c>
      <c r="G182" t="s">
        <v>66</v>
      </c>
      <c r="H182" t="s">
        <v>66</v>
      </c>
      <c r="I182">
        <v>1</v>
      </c>
      <c r="J182" t="s">
        <v>67</v>
      </c>
      <c r="P182" t="s">
        <v>67</v>
      </c>
      <c r="Q182" t="s">
        <v>117</v>
      </c>
      <c r="R182" t="s">
        <v>94</v>
      </c>
      <c r="S182" t="s">
        <v>107</v>
      </c>
      <c r="T182" t="s">
        <v>73</v>
      </c>
      <c r="U182" t="s">
        <v>74</v>
      </c>
      <c r="Z182" t="str">
        <f>_xlfn.TEXTJOIN(",",TRUE,Table1[[#This Row],[Col5]],Table1[[#This Row],[Col4]],Table1[[#This Row],[Col3]],Table1[[#This Row],[Col2]],Table1[[#This Row],[Col1]])</f>
        <v>Groceries</v>
      </c>
      <c r="AA182" t="s">
        <v>81</v>
      </c>
      <c r="AB182" t="s">
        <v>80</v>
      </c>
      <c r="AC182" t="s">
        <v>81</v>
      </c>
      <c r="AD182" t="s">
        <v>80</v>
      </c>
      <c r="AE182" t="s">
        <v>81</v>
      </c>
      <c r="AF182" t="s">
        <v>80</v>
      </c>
      <c r="AG182" t="s">
        <v>81</v>
      </c>
      <c r="AH182" t="s">
        <v>80</v>
      </c>
      <c r="AI182" t="s">
        <v>80</v>
      </c>
      <c r="AJ182" t="s">
        <v>80</v>
      </c>
      <c r="AK182">
        <v>4</v>
      </c>
      <c r="AL182">
        <v>4</v>
      </c>
      <c r="AM182">
        <v>4</v>
      </c>
      <c r="AN182" t="s">
        <v>115</v>
      </c>
    </row>
    <row r="183" spans="1:40" x14ac:dyDescent="0.35">
      <c r="A183">
        <v>30</v>
      </c>
      <c r="B183" t="str" cm="1">
        <f t="array" ref="B183">_xlfn.IFS(A183&lt;=25,"18-25",A183&lt;=33,"26-33",A183&lt;=41,"34-41",A183&lt;=49,"42-49",A183&gt;49,"50 or above")</f>
        <v>26-33</v>
      </c>
      <c r="C183" t="s">
        <v>62</v>
      </c>
      <c r="D183" t="s">
        <v>116</v>
      </c>
      <c r="E183" t="s">
        <v>109</v>
      </c>
      <c r="F183" t="s">
        <v>65</v>
      </c>
      <c r="G183" t="s">
        <v>66</v>
      </c>
      <c r="H183" t="s">
        <v>66</v>
      </c>
      <c r="I183">
        <v>1</v>
      </c>
      <c r="J183" t="s">
        <v>67</v>
      </c>
      <c r="K183" t="s">
        <v>68</v>
      </c>
      <c r="L183" t="s">
        <v>69</v>
      </c>
      <c r="P183" t="s">
        <v>93</v>
      </c>
      <c r="Q183" t="s">
        <v>117</v>
      </c>
      <c r="R183" t="s">
        <v>94</v>
      </c>
      <c r="S183" t="s">
        <v>107</v>
      </c>
      <c r="T183" t="s">
        <v>73</v>
      </c>
      <c r="U183" t="s">
        <v>74</v>
      </c>
      <c r="Z183" t="str">
        <f>_xlfn.TEXTJOIN(",",TRUE,Table1[[#This Row],[Col5]],Table1[[#This Row],[Col4]],Table1[[#This Row],[Col3]],Table1[[#This Row],[Col2]],Table1[[#This Row],[Col1]])</f>
        <v>Groceries</v>
      </c>
      <c r="AA183" t="s">
        <v>79</v>
      </c>
      <c r="AB183" t="s">
        <v>81</v>
      </c>
      <c r="AC183" t="s">
        <v>80</v>
      </c>
      <c r="AD183" t="s">
        <v>79</v>
      </c>
      <c r="AE183" t="s">
        <v>81</v>
      </c>
      <c r="AF183" t="s">
        <v>80</v>
      </c>
      <c r="AG183" t="s">
        <v>79</v>
      </c>
      <c r="AH183" t="s">
        <v>81</v>
      </c>
      <c r="AI183" t="s">
        <v>80</v>
      </c>
      <c r="AJ183" t="s">
        <v>81</v>
      </c>
      <c r="AK183">
        <v>4</v>
      </c>
      <c r="AL183">
        <v>4</v>
      </c>
      <c r="AM183">
        <v>4</v>
      </c>
      <c r="AN183" t="s">
        <v>115</v>
      </c>
    </row>
    <row r="184" spans="1:40" x14ac:dyDescent="0.35">
      <c r="A184">
        <v>27</v>
      </c>
      <c r="B184" t="str" cm="1">
        <f t="array" ref="B184">_xlfn.IFS(A184&lt;=25,"18-25",A184&lt;=33,"26-33",A184&lt;=41,"34-41",A184&lt;=49,"42-49",A184&gt;49,"50 or above")</f>
        <v>26-33</v>
      </c>
      <c r="C184" t="s">
        <v>62</v>
      </c>
      <c r="D184" t="s">
        <v>105</v>
      </c>
      <c r="E184" t="s">
        <v>64</v>
      </c>
      <c r="F184" t="s">
        <v>65</v>
      </c>
      <c r="G184" t="s">
        <v>66</v>
      </c>
      <c r="H184" t="s">
        <v>66</v>
      </c>
      <c r="I184">
        <v>1</v>
      </c>
      <c r="J184" t="s">
        <v>67</v>
      </c>
      <c r="K184" t="s">
        <v>68</v>
      </c>
      <c r="L184" t="s">
        <v>69</v>
      </c>
      <c r="P184" t="s">
        <v>67</v>
      </c>
      <c r="Q184" t="s">
        <v>98</v>
      </c>
      <c r="R184" t="s">
        <v>94</v>
      </c>
      <c r="S184" t="s">
        <v>95</v>
      </c>
      <c r="T184" t="s">
        <v>99</v>
      </c>
      <c r="U184" t="s">
        <v>74</v>
      </c>
      <c r="V184" t="s">
        <v>75</v>
      </c>
      <c r="W184" t="s">
        <v>76</v>
      </c>
      <c r="X184" t="s">
        <v>77</v>
      </c>
      <c r="Y184" t="s">
        <v>108</v>
      </c>
      <c r="Z184" t="str">
        <f>_xlfn.TEXTJOIN(",",TRUE,Table1[[#This Row],[Col5]],Table1[[#This Row],[Col4]],Table1[[#This Row],[Col3]],Table1[[#This Row],[Col2]],Table1[[#This Row],[Col1]])</f>
        <v xml:space="preserve"> Medicines, Personal Care, Daily Essentials, Snacks and Beverages,Groceries</v>
      </c>
      <c r="AA184" t="s">
        <v>81</v>
      </c>
      <c r="AB184" t="s">
        <v>81</v>
      </c>
      <c r="AC184" t="s">
        <v>81</v>
      </c>
      <c r="AD184" t="s">
        <v>81</v>
      </c>
      <c r="AE184" t="s">
        <v>81</v>
      </c>
      <c r="AF184" t="s">
        <v>80</v>
      </c>
      <c r="AG184" t="s">
        <v>80</v>
      </c>
      <c r="AH184" t="s">
        <v>80</v>
      </c>
      <c r="AI184" t="s">
        <v>80</v>
      </c>
      <c r="AJ184" t="s">
        <v>80</v>
      </c>
      <c r="AK184">
        <v>4</v>
      </c>
      <c r="AL184">
        <v>3</v>
      </c>
      <c r="AM184">
        <v>3</v>
      </c>
      <c r="AN184" t="s">
        <v>115</v>
      </c>
    </row>
    <row r="185" spans="1:40" x14ac:dyDescent="0.35">
      <c r="A185">
        <v>68</v>
      </c>
      <c r="B185" t="str" cm="1">
        <f t="array" ref="B185">_xlfn.IFS(A185&lt;=25,"18-25",A185&lt;=33,"26-33",A185&lt;=41,"34-41",A185&lt;=49,"42-49",A185&gt;49,"50 or above")</f>
        <v>50 or above</v>
      </c>
      <c r="C185" t="s">
        <v>62</v>
      </c>
      <c r="D185" t="s">
        <v>63</v>
      </c>
      <c r="E185" t="s">
        <v>136</v>
      </c>
      <c r="F185" t="s">
        <v>65</v>
      </c>
      <c r="G185" t="s">
        <v>66</v>
      </c>
      <c r="H185" t="s">
        <v>66</v>
      </c>
      <c r="I185">
        <v>1</v>
      </c>
      <c r="J185" t="s">
        <v>67</v>
      </c>
      <c r="P185" t="s">
        <v>67</v>
      </c>
      <c r="Q185" t="s">
        <v>117</v>
      </c>
      <c r="R185" t="s">
        <v>94</v>
      </c>
      <c r="S185" t="s">
        <v>95</v>
      </c>
      <c r="T185" t="s">
        <v>99</v>
      </c>
      <c r="W185" t="s">
        <v>134</v>
      </c>
      <c r="Z185" t="str">
        <f>_xlfn.TEXTJOIN(",",TRUE,Table1[[#This Row],[Col5]],Table1[[#This Row],[Col4]],Table1[[#This Row],[Col3]],Table1[[#This Row],[Col2]],Table1[[#This Row],[Col1]])</f>
        <v>Daily Essentials</v>
      </c>
      <c r="AA185" t="s">
        <v>81</v>
      </c>
      <c r="AB185" t="s">
        <v>81</v>
      </c>
      <c r="AC185" t="s">
        <v>81</v>
      </c>
      <c r="AD185" t="s">
        <v>80</v>
      </c>
      <c r="AE185" t="s">
        <v>80</v>
      </c>
      <c r="AF185" t="s">
        <v>80</v>
      </c>
      <c r="AG185" t="s">
        <v>80</v>
      </c>
      <c r="AH185" t="s">
        <v>80</v>
      </c>
      <c r="AI185" t="s">
        <v>80</v>
      </c>
      <c r="AJ185" t="s">
        <v>80</v>
      </c>
      <c r="AK185">
        <v>4</v>
      </c>
      <c r="AL185">
        <v>3</v>
      </c>
      <c r="AM185">
        <v>3</v>
      </c>
      <c r="AN185" t="s">
        <v>115</v>
      </c>
    </row>
    <row r="186" spans="1:40" x14ac:dyDescent="0.35">
      <c r="A186">
        <v>25</v>
      </c>
      <c r="B186" t="str" cm="1">
        <f t="array" ref="B186">_xlfn.IFS(A186&lt;=25,"18-25",A186&lt;=33,"26-33",A186&lt;=41,"34-41",A186&lt;=49,"42-49",A186&gt;49,"50 or above")</f>
        <v>18-25</v>
      </c>
      <c r="C186" t="s">
        <v>62</v>
      </c>
      <c r="D186" t="s">
        <v>105</v>
      </c>
      <c r="E186" t="s">
        <v>64</v>
      </c>
      <c r="F186" t="s">
        <v>65</v>
      </c>
      <c r="G186" t="s">
        <v>66</v>
      </c>
      <c r="H186" t="s">
        <v>66</v>
      </c>
      <c r="I186">
        <v>1</v>
      </c>
      <c r="J186" t="s">
        <v>67</v>
      </c>
      <c r="K186" t="s">
        <v>68</v>
      </c>
      <c r="L186" t="s">
        <v>69</v>
      </c>
      <c r="P186" t="s">
        <v>67</v>
      </c>
      <c r="Q186" t="s">
        <v>70</v>
      </c>
      <c r="R186" t="s">
        <v>94</v>
      </c>
      <c r="S186" t="s">
        <v>95</v>
      </c>
      <c r="T186" t="s">
        <v>99</v>
      </c>
      <c r="U186" t="s">
        <v>74</v>
      </c>
      <c r="V186" t="s">
        <v>75</v>
      </c>
      <c r="W186" t="s">
        <v>76</v>
      </c>
      <c r="X186" t="s">
        <v>77</v>
      </c>
      <c r="Z186" t="str">
        <f>_xlfn.TEXTJOIN(",",TRUE,Table1[[#This Row],[Col5]],Table1[[#This Row],[Col4]],Table1[[#This Row],[Col3]],Table1[[#This Row],[Col2]],Table1[[#This Row],[Col1]])</f>
        <v xml:space="preserve"> Personal Care, Daily Essentials, Snacks and Beverages,Groceries</v>
      </c>
      <c r="AA186" t="s">
        <v>81</v>
      </c>
      <c r="AB186" t="s">
        <v>79</v>
      </c>
      <c r="AC186" t="s">
        <v>81</v>
      </c>
      <c r="AD186" t="s">
        <v>81</v>
      </c>
      <c r="AE186" t="s">
        <v>81</v>
      </c>
      <c r="AF186" t="s">
        <v>79</v>
      </c>
      <c r="AG186" t="s">
        <v>79</v>
      </c>
      <c r="AH186" t="s">
        <v>81</v>
      </c>
      <c r="AI186" t="s">
        <v>79</v>
      </c>
      <c r="AJ186" t="s">
        <v>79</v>
      </c>
      <c r="AK186">
        <v>4</v>
      </c>
      <c r="AL186">
        <v>4</v>
      </c>
      <c r="AM186">
        <v>3</v>
      </c>
      <c r="AN186" t="s">
        <v>82</v>
      </c>
    </row>
    <row r="187" spans="1:40" x14ac:dyDescent="0.35">
      <c r="A187">
        <v>55</v>
      </c>
      <c r="B187" t="str" cm="1">
        <f t="array" ref="B187">_xlfn.IFS(A187&lt;=25,"18-25",A187&lt;=33,"26-33",A187&lt;=41,"34-41",A187&lt;=49,"42-49",A187&gt;49,"50 or above")</f>
        <v>50 or above</v>
      </c>
      <c r="C187" t="s">
        <v>62</v>
      </c>
      <c r="D187" t="s">
        <v>105</v>
      </c>
      <c r="E187" t="s">
        <v>86</v>
      </c>
      <c r="F187" t="s">
        <v>65</v>
      </c>
      <c r="G187" t="s">
        <v>66</v>
      </c>
      <c r="H187" t="s">
        <v>66</v>
      </c>
      <c r="I187">
        <v>1</v>
      </c>
      <c r="J187" t="s">
        <v>67</v>
      </c>
      <c r="K187" t="s">
        <v>68</v>
      </c>
      <c r="L187" t="s">
        <v>69</v>
      </c>
      <c r="P187" t="s">
        <v>67</v>
      </c>
      <c r="Q187" t="s">
        <v>117</v>
      </c>
      <c r="R187" t="s">
        <v>94</v>
      </c>
      <c r="S187" t="s">
        <v>107</v>
      </c>
      <c r="T187" t="s">
        <v>73</v>
      </c>
      <c r="U187" t="s">
        <v>74</v>
      </c>
      <c r="Z187" t="str">
        <f>_xlfn.TEXTJOIN(",",TRUE,Table1[[#This Row],[Col5]],Table1[[#This Row],[Col4]],Table1[[#This Row],[Col3]],Table1[[#This Row],[Col2]],Table1[[#This Row],[Col1]])</f>
        <v>Groceries</v>
      </c>
      <c r="AA187" t="s">
        <v>79</v>
      </c>
      <c r="AB187" t="s">
        <v>81</v>
      </c>
      <c r="AC187" t="s">
        <v>81</v>
      </c>
      <c r="AD187" t="s">
        <v>81</v>
      </c>
      <c r="AE187" t="s">
        <v>81</v>
      </c>
      <c r="AF187" t="s">
        <v>81</v>
      </c>
      <c r="AG187" t="s">
        <v>80</v>
      </c>
      <c r="AH187" t="s">
        <v>80</v>
      </c>
      <c r="AI187" t="s">
        <v>80</v>
      </c>
      <c r="AJ187" t="s">
        <v>80</v>
      </c>
      <c r="AK187">
        <v>4</v>
      </c>
      <c r="AL187">
        <v>3</v>
      </c>
      <c r="AM187">
        <v>3</v>
      </c>
      <c r="AN187" t="s">
        <v>82</v>
      </c>
    </row>
    <row r="188" spans="1:40" x14ac:dyDescent="0.35">
      <c r="A188">
        <v>45</v>
      </c>
      <c r="B188" t="str" cm="1">
        <f t="array" ref="B188">_xlfn.IFS(A188&lt;=25,"18-25",A188&lt;=33,"26-33",A188&lt;=41,"34-41",A188&lt;=49,"42-49",A188&gt;49,"50 or above")</f>
        <v>42-49</v>
      </c>
      <c r="C188" t="s">
        <v>89</v>
      </c>
      <c r="D188" t="s">
        <v>119</v>
      </c>
      <c r="E188" t="s">
        <v>121</v>
      </c>
      <c r="F188" t="s">
        <v>87</v>
      </c>
      <c r="G188" t="s">
        <v>66</v>
      </c>
      <c r="H188" t="s">
        <v>66</v>
      </c>
      <c r="I188">
        <v>1</v>
      </c>
      <c r="J188" t="s">
        <v>67</v>
      </c>
      <c r="K188" t="s">
        <v>68</v>
      </c>
      <c r="L188" t="s">
        <v>69</v>
      </c>
      <c r="P188" t="s">
        <v>67</v>
      </c>
      <c r="Q188" t="s">
        <v>70</v>
      </c>
      <c r="R188" t="s">
        <v>94</v>
      </c>
      <c r="S188" t="s">
        <v>130</v>
      </c>
      <c r="T188" t="s">
        <v>99</v>
      </c>
      <c r="U188" t="s">
        <v>74</v>
      </c>
      <c r="V188" t="s">
        <v>75</v>
      </c>
      <c r="W188" t="s">
        <v>76</v>
      </c>
      <c r="Z188" t="str">
        <f>_xlfn.TEXTJOIN(",",TRUE,Table1[[#This Row],[Col5]],Table1[[#This Row],[Col4]],Table1[[#This Row],[Col3]],Table1[[#This Row],[Col2]],Table1[[#This Row],[Col1]])</f>
        <v xml:space="preserve"> Daily Essentials, Snacks and Beverages,Groceries</v>
      </c>
      <c r="AA188" t="s">
        <v>80</v>
      </c>
      <c r="AB188" t="s">
        <v>81</v>
      </c>
      <c r="AC188" t="s">
        <v>79</v>
      </c>
      <c r="AD188" t="s">
        <v>80</v>
      </c>
      <c r="AE188" t="s">
        <v>79</v>
      </c>
      <c r="AF188" t="s">
        <v>79</v>
      </c>
      <c r="AG188" t="s">
        <v>81</v>
      </c>
      <c r="AH188" t="s">
        <v>81</v>
      </c>
      <c r="AI188" t="s">
        <v>79</v>
      </c>
      <c r="AJ188" t="s">
        <v>79</v>
      </c>
      <c r="AK188">
        <v>3</v>
      </c>
      <c r="AL188">
        <v>3</v>
      </c>
      <c r="AM188">
        <v>2</v>
      </c>
      <c r="AN188" t="s">
        <v>82</v>
      </c>
    </row>
    <row r="189" spans="1:40" x14ac:dyDescent="0.35">
      <c r="A189">
        <v>30</v>
      </c>
      <c r="B189" t="str" cm="1">
        <f t="array" ref="B189">_xlfn.IFS(A189&lt;=25,"18-25",A189&lt;=33,"26-33",A189&lt;=41,"34-41",A189&lt;=49,"42-49",A189&gt;49,"50 or above")</f>
        <v>26-33</v>
      </c>
      <c r="C189" t="s">
        <v>62</v>
      </c>
      <c r="D189" t="s">
        <v>105</v>
      </c>
      <c r="E189" t="s">
        <v>109</v>
      </c>
      <c r="F189" t="s">
        <v>102</v>
      </c>
      <c r="G189" t="s">
        <v>66</v>
      </c>
      <c r="H189" t="s">
        <v>66</v>
      </c>
      <c r="I189">
        <v>1</v>
      </c>
      <c r="J189" t="s">
        <v>67</v>
      </c>
      <c r="K189" t="s">
        <v>68</v>
      </c>
      <c r="L189" t="s">
        <v>69</v>
      </c>
      <c r="P189" t="s">
        <v>91</v>
      </c>
      <c r="Q189" t="s">
        <v>98</v>
      </c>
      <c r="R189" t="s">
        <v>71</v>
      </c>
      <c r="S189" t="s">
        <v>95</v>
      </c>
      <c r="T189" t="s">
        <v>140</v>
      </c>
      <c r="X189" t="s">
        <v>131</v>
      </c>
      <c r="Y189" t="s">
        <v>108</v>
      </c>
      <c r="Z189" t="str">
        <f>_xlfn.TEXTJOIN(",",TRUE,Table1[[#This Row],[Col5]],Table1[[#This Row],[Col4]],Table1[[#This Row],[Col3]],Table1[[#This Row],[Col2]],Table1[[#This Row],[Col1]])</f>
        <v xml:space="preserve"> Medicines,Personal Care</v>
      </c>
      <c r="AA189" t="s">
        <v>78</v>
      </c>
      <c r="AB189" t="s">
        <v>80</v>
      </c>
      <c r="AC189" t="s">
        <v>81</v>
      </c>
      <c r="AD189" t="s">
        <v>81</v>
      </c>
      <c r="AE189" t="s">
        <v>79</v>
      </c>
      <c r="AF189" t="s">
        <v>80</v>
      </c>
      <c r="AG189" t="s">
        <v>78</v>
      </c>
      <c r="AH189" t="s">
        <v>81</v>
      </c>
      <c r="AI189" t="s">
        <v>78</v>
      </c>
      <c r="AJ189" t="s">
        <v>78</v>
      </c>
      <c r="AK189">
        <v>4</v>
      </c>
      <c r="AL189">
        <v>5</v>
      </c>
      <c r="AM189">
        <v>3</v>
      </c>
      <c r="AN189" t="s">
        <v>115</v>
      </c>
    </row>
    <row r="190" spans="1:40" x14ac:dyDescent="0.35">
      <c r="A190">
        <v>46</v>
      </c>
      <c r="B190" t="str" cm="1">
        <f t="array" ref="B190">_xlfn.IFS(A190&lt;=25,"18-25",A190&lt;=33,"26-33",A190&lt;=41,"34-41",A190&lt;=49,"42-49",A190&gt;49,"50 or above")</f>
        <v>42-49</v>
      </c>
      <c r="C190" t="s">
        <v>89</v>
      </c>
      <c r="D190" t="s">
        <v>119</v>
      </c>
      <c r="E190" t="s">
        <v>121</v>
      </c>
      <c r="F190" t="s">
        <v>90</v>
      </c>
      <c r="G190" t="s">
        <v>66</v>
      </c>
      <c r="H190" t="s">
        <v>66</v>
      </c>
      <c r="I190">
        <v>1</v>
      </c>
      <c r="J190" t="s">
        <v>67</v>
      </c>
      <c r="P190" t="s">
        <v>67</v>
      </c>
      <c r="Q190" t="s">
        <v>117</v>
      </c>
      <c r="R190" t="s">
        <v>94</v>
      </c>
      <c r="S190" t="s">
        <v>113</v>
      </c>
      <c r="T190" t="s">
        <v>99</v>
      </c>
      <c r="U190" t="s">
        <v>74</v>
      </c>
      <c r="Z190" t="str">
        <f>_xlfn.TEXTJOIN(",",TRUE,Table1[[#This Row],[Col5]],Table1[[#This Row],[Col4]],Table1[[#This Row],[Col3]],Table1[[#This Row],[Col2]],Table1[[#This Row],[Col1]])</f>
        <v>Groceries</v>
      </c>
      <c r="AA190" t="s">
        <v>81</v>
      </c>
      <c r="AB190" t="s">
        <v>79</v>
      </c>
      <c r="AC190" t="s">
        <v>80</v>
      </c>
      <c r="AD190" t="s">
        <v>79</v>
      </c>
      <c r="AE190" t="s">
        <v>80</v>
      </c>
      <c r="AF190" t="s">
        <v>79</v>
      </c>
      <c r="AG190" t="s">
        <v>79</v>
      </c>
      <c r="AH190" t="s">
        <v>80</v>
      </c>
      <c r="AI190" t="s">
        <v>101</v>
      </c>
      <c r="AJ190" t="s">
        <v>81</v>
      </c>
      <c r="AK190">
        <v>3</v>
      </c>
      <c r="AL190">
        <v>1</v>
      </c>
      <c r="AM190">
        <v>2</v>
      </c>
      <c r="AN190" t="s">
        <v>128</v>
      </c>
    </row>
    <row r="191" spans="1:40" x14ac:dyDescent="0.35">
      <c r="A191">
        <v>23</v>
      </c>
      <c r="B191" t="str" cm="1">
        <f t="array" ref="B191">_xlfn.IFS(A191&lt;=25,"18-25",A191&lt;=33,"26-33",A191&lt;=41,"34-41",A191&lt;=49,"42-49",A191&gt;49,"50 or above")</f>
        <v>18-25</v>
      </c>
      <c r="C191" t="s">
        <v>62</v>
      </c>
      <c r="D191" t="s">
        <v>63</v>
      </c>
      <c r="E191" t="s">
        <v>64</v>
      </c>
      <c r="F191" t="s">
        <v>65</v>
      </c>
      <c r="G191" t="s">
        <v>66</v>
      </c>
      <c r="H191" t="s">
        <v>66</v>
      </c>
      <c r="I191">
        <v>1</v>
      </c>
      <c r="J191" t="s">
        <v>67</v>
      </c>
      <c r="K191" t="s">
        <v>68</v>
      </c>
      <c r="L191" t="s">
        <v>69</v>
      </c>
      <c r="P191" t="s">
        <v>67</v>
      </c>
      <c r="Q191" t="s">
        <v>117</v>
      </c>
      <c r="R191" t="s">
        <v>94</v>
      </c>
      <c r="S191" t="s">
        <v>95</v>
      </c>
      <c r="T191" t="s">
        <v>73</v>
      </c>
      <c r="U191" t="s">
        <v>74</v>
      </c>
      <c r="V191" t="s">
        <v>75</v>
      </c>
      <c r="W191" t="s">
        <v>76</v>
      </c>
      <c r="X191" t="s">
        <v>77</v>
      </c>
      <c r="Z191" t="str">
        <f>_xlfn.TEXTJOIN(",",TRUE,Table1[[#This Row],[Col5]],Table1[[#This Row],[Col4]],Table1[[#This Row],[Col3]],Table1[[#This Row],[Col2]],Table1[[#This Row],[Col1]])</f>
        <v xml:space="preserve"> Personal Care, Daily Essentials, Snacks and Beverages,Groceries</v>
      </c>
      <c r="AA191" t="s">
        <v>81</v>
      </c>
      <c r="AB191" t="s">
        <v>80</v>
      </c>
      <c r="AC191" t="s">
        <v>81</v>
      </c>
      <c r="AD191" t="s">
        <v>80</v>
      </c>
      <c r="AE191" t="s">
        <v>81</v>
      </c>
      <c r="AF191" t="s">
        <v>81</v>
      </c>
      <c r="AG191" t="s">
        <v>81</v>
      </c>
      <c r="AH191" t="s">
        <v>81</v>
      </c>
      <c r="AI191" t="s">
        <v>81</v>
      </c>
      <c r="AJ191" t="s">
        <v>81</v>
      </c>
      <c r="AK191">
        <v>4</v>
      </c>
      <c r="AL191">
        <v>4</v>
      </c>
      <c r="AM191">
        <v>3</v>
      </c>
      <c r="AN191" t="s">
        <v>82</v>
      </c>
    </row>
    <row r="192" spans="1:40" x14ac:dyDescent="0.35">
      <c r="A192">
        <v>34</v>
      </c>
      <c r="B192" t="str" cm="1">
        <f t="array" ref="B192">_xlfn.IFS(A192&lt;=25,"18-25",A192&lt;=33,"26-33",A192&lt;=41,"34-41",A192&lt;=49,"42-49",A192&gt;49,"50 or above")</f>
        <v>34-41</v>
      </c>
      <c r="C192" t="s">
        <v>62</v>
      </c>
      <c r="D192" t="s">
        <v>63</v>
      </c>
      <c r="E192" t="s">
        <v>109</v>
      </c>
      <c r="F192" t="s">
        <v>102</v>
      </c>
      <c r="G192" t="s">
        <v>66</v>
      </c>
      <c r="H192" t="s">
        <v>66</v>
      </c>
      <c r="I192">
        <v>1</v>
      </c>
      <c r="J192" t="s">
        <v>67</v>
      </c>
      <c r="K192" t="s">
        <v>68</v>
      </c>
      <c r="L192" t="s">
        <v>69</v>
      </c>
      <c r="P192" t="s">
        <v>67</v>
      </c>
      <c r="Q192" t="s">
        <v>98</v>
      </c>
      <c r="R192" t="s">
        <v>94</v>
      </c>
      <c r="S192" t="s">
        <v>107</v>
      </c>
      <c r="T192" t="s">
        <v>73</v>
      </c>
      <c r="U192" t="s">
        <v>74</v>
      </c>
      <c r="Z192" t="str">
        <f>_xlfn.TEXTJOIN(",",TRUE,Table1[[#This Row],[Col5]],Table1[[#This Row],[Col4]],Table1[[#This Row],[Col3]],Table1[[#This Row],[Col2]],Table1[[#This Row],[Col1]])</f>
        <v>Groceries</v>
      </c>
      <c r="AA192" t="s">
        <v>81</v>
      </c>
      <c r="AB192" t="s">
        <v>81</v>
      </c>
      <c r="AC192" t="s">
        <v>81</v>
      </c>
      <c r="AD192" t="s">
        <v>80</v>
      </c>
      <c r="AE192" t="s">
        <v>80</v>
      </c>
      <c r="AF192" t="s">
        <v>80</v>
      </c>
      <c r="AG192" t="s">
        <v>81</v>
      </c>
      <c r="AH192" t="s">
        <v>81</v>
      </c>
      <c r="AI192" t="s">
        <v>81</v>
      </c>
      <c r="AJ192" t="s">
        <v>81</v>
      </c>
      <c r="AK192">
        <v>4</v>
      </c>
      <c r="AL192">
        <v>4</v>
      </c>
      <c r="AM192">
        <v>3</v>
      </c>
      <c r="AN192" t="s">
        <v>115</v>
      </c>
    </row>
    <row r="193" spans="1:40" x14ac:dyDescent="0.35">
      <c r="A193">
        <v>54</v>
      </c>
      <c r="B193" t="str" cm="1">
        <f t="array" ref="B193">_xlfn.IFS(A193&lt;=25,"18-25",A193&lt;=33,"26-33",A193&lt;=41,"34-41",A193&lt;=49,"42-49",A193&gt;49,"50 or above")</f>
        <v>50 or above</v>
      </c>
      <c r="C193" t="s">
        <v>62</v>
      </c>
      <c r="D193" t="s">
        <v>116</v>
      </c>
      <c r="E193" t="s">
        <v>86</v>
      </c>
      <c r="F193" t="s">
        <v>65</v>
      </c>
      <c r="G193" t="s">
        <v>66</v>
      </c>
      <c r="H193" t="s">
        <v>66</v>
      </c>
      <c r="I193">
        <v>1</v>
      </c>
      <c r="J193" t="s">
        <v>67</v>
      </c>
      <c r="K193" t="s">
        <v>68</v>
      </c>
      <c r="L193" t="s">
        <v>69</v>
      </c>
      <c r="P193" t="s">
        <v>67</v>
      </c>
      <c r="Q193" t="s">
        <v>70</v>
      </c>
      <c r="R193" t="s">
        <v>94</v>
      </c>
      <c r="S193" t="s">
        <v>72</v>
      </c>
      <c r="T193" t="s">
        <v>73</v>
      </c>
      <c r="V193" t="s">
        <v>96</v>
      </c>
      <c r="W193" t="s">
        <v>76</v>
      </c>
      <c r="Z193" t="str">
        <f>_xlfn.TEXTJOIN(",",TRUE,Table1[[#This Row],[Col5]],Table1[[#This Row],[Col4]],Table1[[#This Row],[Col3]],Table1[[#This Row],[Col2]],Table1[[#This Row],[Col1]])</f>
        <v xml:space="preserve"> Daily Essentials,Snacks and Beverages</v>
      </c>
      <c r="AA193" t="s">
        <v>79</v>
      </c>
      <c r="AB193" t="s">
        <v>81</v>
      </c>
      <c r="AC193" t="s">
        <v>81</v>
      </c>
      <c r="AD193" t="s">
        <v>81</v>
      </c>
      <c r="AE193" t="s">
        <v>79</v>
      </c>
      <c r="AF193" t="s">
        <v>79</v>
      </c>
      <c r="AG193" t="s">
        <v>80</v>
      </c>
      <c r="AH193" t="s">
        <v>79</v>
      </c>
      <c r="AI193" t="s">
        <v>79</v>
      </c>
      <c r="AJ193" t="s">
        <v>79</v>
      </c>
      <c r="AK193">
        <v>4</v>
      </c>
      <c r="AL193">
        <v>3</v>
      </c>
      <c r="AM193">
        <v>4</v>
      </c>
      <c r="AN193" t="s">
        <v>82</v>
      </c>
    </row>
    <row r="194" spans="1:40" x14ac:dyDescent="0.35">
      <c r="A194">
        <v>40</v>
      </c>
      <c r="B194" t="str" cm="1">
        <f t="array" ref="B194">_xlfn.IFS(A194&lt;=25,"18-25",A194&lt;=33,"26-33",A194&lt;=41,"34-41",A194&lt;=49,"42-49",A194&gt;49,"50 or above")</f>
        <v>34-41</v>
      </c>
      <c r="C194" t="s">
        <v>62</v>
      </c>
      <c r="D194" t="s">
        <v>63</v>
      </c>
      <c r="E194" t="s">
        <v>64</v>
      </c>
      <c r="F194" t="s">
        <v>65</v>
      </c>
      <c r="G194" t="s">
        <v>66</v>
      </c>
      <c r="H194" t="s">
        <v>66</v>
      </c>
      <c r="I194">
        <v>1</v>
      </c>
      <c r="J194" t="s">
        <v>67</v>
      </c>
      <c r="K194" t="s">
        <v>68</v>
      </c>
      <c r="L194" t="s">
        <v>69</v>
      </c>
      <c r="P194" t="s">
        <v>67</v>
      </c>
      <c r="Q194" t="s">
        <v>98</v>
      </c>
      <c r="R194" t="s">
        <v>94</v>
      </c>
      <c r="S194" t="s">
        <v>95</v>
      </c>
      <c r="T194" t="s">
        <v>73</v>
      </c>
      <c r="U194" t="s">
        <v>74</v>
      </c>
      <c r="V194" t="s">
        <v>75</v>
      </c>
      <c r="W194" t="s">
        <v>76</v>
      </c>
      <c r="X194" t="s">
        <v>77</v>
      </c>
      <c r="Z194" t="str">
        <f>_xlfn.TEXTJOIN(",",TRUE,Table1[[#This Row],[Col5]],Table1[[#This Row],[Col4]],Table1[[#This Row],[Col3]],Table1[[#This Row],[Col2]],Table1[[#This Row],[Col1]])</f>
        <v xml:space="preserve"> Personal Care, Daily Essentials, Snacks and Beverages,Groceries</v>
      </c>
      <c r="AA194" t="s">
        <v>79</v>
      </c>
      <c r="AB194" t="s">
        <v>81</v>
      </c>
      <c r="AC194" t="s">
        <v>81</v>
      </c>
      <c r="AD194" t="s">
        <v>81</v>
      </c>
      <c r="AE194" t="s">
        <v>79</v>
      </c>
      <c r="AF194" t="s">
        <v>79</v>
      </c>
      <c r="AG194" t="s">
        <v>79</v>
      </c>
      <c r="AH194" t="s">
        <v>79</v>
      </c>
      <c r="AI194" t="s">
        <v>81</v>
      </c>
      <c r="AJ194" t="s">
        <v>81</v>
      </c>
      <c r="AK194">
        <v>3</v>
      </c>
      <c r="AL194">
        <v>4</v>
      </c>
      <c r="AM194">
        <v>3</v>
      </c>
      <c r="AN194" t="s">
        <v>82</v>
      </c>
    </row>
    <row r="195" spans="1:40" x14ac:dyDescent="0.35">
      <c r="A195">
        <v>34</v>
      </c>
      <c r="B195" t="str" cm="1">
        <f t="array" ref="B195">_xlfn.IFS(A195&lt;=25,"18-25",A195&lt;=33,"26-33",A195&lt;=41,"34-41",A195&lt;=49,"42-49",A195&gt;49,"50 or above")</f>
        <v>34-41</v>
      </c>
      <c r="C195" t="s">
        <v>62</v>
      </c>
      <c r="D195" t="s">
        <v>105</v>
      </c>
      <c r="E195" t="s">
        <v>86</v>
      </c>
      <c r="F195" t="s">
        <v>102</v>
      </c>
      <c r="G195" t="s">
        <v>66</v>
      </c>
      <c r="H195" t="s">
        <v>66</v>
      </c>
      <c r="I195">
        <v>1</v>
      </c>
      <c r="J195" t="s">
        <v>67</v>
      </c>
      <c r="K195" t="s">
        <v>68</v>
      </c>
      <c r="L195" t="s">
        <v>69</v>
      </c>
      <c r="P195" t="s">
        <v>67</v>
      </c>
      <c r="Q195" t="s">
        <v>70</v>
      </c>
      <c r="R195" t="s">
        <v>94</v>
      </c>
      <c r="S195" t="s">
        <v>72</v>
      </c>
      <c r="T195" t="s">
        <v>73</v>
      </c>
      <c r="U195" t="s">
        <v>74</v>
      </c>
      <c r="V195" t="s">
        <v>75</v>
      </c>
      <c r="W195" t="s">
        <v>76</v>
      </c>
      <c r="X195" t="s">
        <v>77</v>
      </c>
      <c r="Y195" t="s">
        <v>108</v>
      </c>
      <c r="Z195" t="str">
        <f>_xlfn.TEXTJOIN(",",TRUE,Table1[[#This Row],[Col5]],Table1[[#This Row],[Col4]],Table1[[#This Row],[Col3]],Table1[[#This Row],[Col2]],Table1[[#This Row],[Col1]])</f>
        <v xml:space="preserve"> Medicines, Personal Care, Daily Essentials, Snacks and Beverages,Groceries</v>
      </c>
      <c r="AA195" t="s">
        <v>81</v>
      </c>
      <c r="AB195" t="s">
        <v>79</v>
      </c>
      <c r="AC195" t="s">
        <v>79</v>
      </c>
      <c r="AD195" t="s">
        <v>81</v>
      </c>
      <c r="AE195" t="s">
        <v>80</v>
      </c>
      <c r="AF195" t="s">
        <v>79</v>
      </c>
      <c r="AG195" t="s">
        <v>80</v>
      </c>
      <c r="AH195" t="s">
        <v>81</v>
      </c>
      <c r="AI195" t="s">
        <v>81</v>
      </c>
      <c r="AJ195" t="s">
        <v>79</v>
      </c>
      <c r="AK195">
        <v>3</v>
      </c>
      <c r="AL195">
        <v>3</v>
      </c>
      <c r="AM195">
        <v>3</v>
      </c>
      <c r="AN195" t="s">
        <v>115</v>
      </c>
    </row>
    <row r="196" spans="1:40" x14ac:dyDescent="0.35">
      <c r="A196">
        <v>30</v>
      </c>
      <c r="B196" t="str" cm="1">
        <f t="array" ref="B196">_xlfn.IFS(A196&lt;=25,"18-25",A196&lt;=33,"26-33",A196&lt;=41,"34-41",A196&lt;=49,"42-49",A196&gt;49,"50 or above")</f>
        <v>26-33</v>
      </c>
      <c r="C196" t="s">
        <v>62</v>
      </c>
      <c r="D196" t="s">
        <v>105</v>
      </c>
      <c r="E196" t="s">
        <v>86</v>
      </c>
      <c r="F196" t="s">
        <v>102</v>
      </c>
      <c r="G196" t="s">
        <v>66</v>
      </c>
      <c r="H196" t="s">
        <v>66</v>
      </c>
      <c r="I196">
        <v>1</v>
      </c>
      <c r="J196" t="s">
        <v>67</v>
      </c>
      <c r="K196" t="s">
        <v>68</v>
      </c>
      <c r="L196" t="s">
        <v>69</v>
      </c>
      <c r="P196" t="s">
        <v>93</v>
      </c>
      <c r="Q196" t="s">
        <v>98</v>
      </c>
      <c r="R196" t="s">
        <v>94</v>
      </c>
      <c r="S196" t="s">
        <v>107</v>
      </c>
      <c r="T196" t="s">
        <v>73</v>
      </c>
      <c r="V196" t="s">
        <v>96</v>
      </c>
      <c r="W196" t="s">
        <v>76</v>
      </c>
      <c r="X196" t="s">
        <v>77</v>
      </c>
      <c r="Z196" t="str">
        <f>_xlfn.TEXTJOIN(",",TRUE,Table1[[#This Row],[Col5]],Table1[[#This Row],[Col4]],Table1[[#This Row],[Col3]],Table1[[#This Row],[Col2]],Table1[[#This Row],[Col1]])</f>
        <v xml:space="preserve"> Personal Care, Daily Essentials,Snacks and Beverages</v>
      </c>
      <c r="AA196" t="s">
        <v>81</v>
      </c>
      <c r="AB196" t="s">
        <v>79</v>
      </c>
      <c r="AC196" t="s">
        <v>81</v>
      </c>
      <c r="AD196" t="s">
        <v>80</v>
      </c>
      <c r="AE196" t="s">
        <v>81</v>
      </c>
      <c r="AF196" t="s">
        <v>81</v>
      </c>
      <c r="AG196" t="s">
        <v>80</v>
      </c>
      <c r="AH196" t="s">
        <v>81</v>
      </c>
      <c r="AI196" t="s">
        <v>81</v>
      </c>
      <c r="AJ196" t="s">
        <v>81</v>
      </c>
      <c r="AK196">
        <v>4</v>
      </c>
      <c r="AL196">
        <v>3</v>
      </c>
      <c r="AM196">
        <v>3</v>
      </c>
      <c r="AN196" t="s">
        <v>104</v>
      </c>
    </row>
    <row r="197" spans="1:40" x14ac:dyDescent="0.35">
      <c r="A197">
        <v>56</v>
      </c>
      <c r="B197" t="str" cm="1">
        <f t="array" ref="B197">_xlfn.IFS(A197&lt;=25,"18-25",A197&lt;=33,"26-33",A197&lt;=41,"34-41",A197&lt;=49,"42-49",A197&gt;49,"50 or above")</f>
        <v>50 or above</v>
      </c>
      <c r="C197" t="s">
        <v>62</v>
      </c>
      <c r="D197" t="s">
        <v>105</v>
      </c>
      <c r="E197" t="s">
        <v>109</v>
      </c>
      <c r="F197" t="s">
        <v>65</v>
      </c>
      <c r="G197" t="s">
        <v>66</v>
      </c>
      <c r="H197" t="s">
        <v>66</v>
      </c>
      <c r="I197">
        <v>1</v>
      </c>
      <c r="J197" t="s">
        <v>67</v>
      </c>
      <c r="K197" t="s">
        <v>68</v>
      </c>
      <c r="L197" t="s">
        <v>69</v>
      </c>
      <c r="P197" t="s">
        <v>67</v>
      </c>
      <c r="Q197" t="s">
        <v>70</v>
      </c>
      <c r="R197" t="s">
        <v>94</v>
      </c>
      <c r="S197" t="s">
        <v>95</v>
      </c>
      <c r="T197" t="s">
        <v>73</v>
      </c>
      <c r="U197" t="s">
        <v>74</v>
      </c>
      <c r="V197" t="s">
        <v>75</v>
      </c>
      <c r="W197" t="s">
        <v>76</v>
      </c>
      <c r="X197" t="s">
        <v>77</v>
      </c>
      <c r="Y197" t="s">
        <v>108</v>
      </c>
      <c r="Z197" t="str">
        <f>_xlfn.TEXTJOIN(",",TRUE,Table1[[#This Row],[Col5]],Table1[[#This Row],[Col4]],Table1[[#This Row],[Col3]],Table1[[#This Row],[Col2]],Table1[[#This Row],[Col1]])</f>
        <v xml:space="preserve"> Medicines, Personal Care, Daily Essentials, Snacks and Beverages,Groceries</v>
      </c>
      <c r="AA197" t="s">
        <v>79</v>
      </c>
      <c r="AB197" t="s">
        <v>81</v>
      </c>
      <c r="AC197" t="s">
        <v>81</v>
      </c>
      <c r="AD197" t="s">
        <v>80</v>
      </c>
      <c r="AE197" t="s">
        <v>81</v>
      </c>
      <c r="AF197" t="s">
        <v>81</v>
      </c>
      <c r="AG197" t="s">
        <v>81</v>
      </c>
      <c r="AH197" t="s">
        <v>81</v>
      </c>
      <c r="AI197" t="s">
        <v>81</v>
      </c>
      <c r="AJ197" t="s">
        <v>81</v>
      </c>
      <c r="AK197">
        <v>4</v>
      </c>
      <c r="AL197">
        <v>3</v>
      </c>
      <c r="AM197">
        <v>3</v>
      </c>
      <c r="AN197" t="s">
        <v>82</v>
      </c>
    </row>
    <row r="198" spans="1:40" x14ac:dyDescent="0.35">
      <c r="A198">
        <v>33</v>
      </c>
      <c r="B198" t="str" cm="1">
        <f t="array" ref="B198">_xlfn.IFS(A198&lt;=25,"18-25",A198&lt;=33,"26-33",A198&lt;=41,"34-41",A198&lt;=49,"42-49",A198&gt;49,"50 or above")</f>
        <v>26-33</v>
      </c>
      <c r="C198" t="s">
        <v>62</v>
      </c>
      <c r="D198" t="s">
        <v>105</v>
      </c>
      <c r="E198" t="s">
        <v>86</v>
      </c>
      <c r="F198" t="s">
        <v>65</v>
      </c>
      <c r="G198" t="s">
        <v>66</v>
      </c>
      <c r="H198" t="s">
        <v>66</v>
      </c>
      <c r="I198">
        <v>1</v>
      </c>
      <c r="J198" t="s">
        <v>67</v>
      </c>
      <c r="K198" t="s">
        <v>68</v>
      </c>
      <c r="L198" t="s">
        <v>69</v>
      </c>
      <c r="P198" t="s">
        <v>67</v>
      </c>
      <c r="Q198" t="s">
        <v>98</v>
      </c>
      <c r="R198" t="s">
        <v>94</v>
      </c>
      <c r="S198" t="s">
        <v>113</v>
      </c>
      <c r="T198" t="s">
        <v>140</v>
      </c>
      <c r="U198" t="s">
        <v>74</v>
      </c>
      <c r="V198" t="s">
        <v>75</v>
      </c>
      <c r="W198" t="s">
        <v>76</v>
      </c>
      <c r="X198" t="s">
        <v>77</v>
      </c>
      <c r="Y198" t="s">
        <v>108</v>
      </c>
      <c r="Z198" t="str">
        <f>_xlfn.TEXTJOIN(",",TRUE,Table1[[#This Row],[Col5]],Table1[[#This Row],[Col4]],Table1[[#This Row],[Col3]],Table1[[#This Row],[Col2]],Table1[[#This Row],[Col1]])</f>
        <v xml:space="preserve"> Medicines, Personal Care, Daily Essentials, Snacks and Beverages,Groceries</v>
      </c>
      <c r="AA198" t="s">
        <v>80</v>
      </c>
      <c r="AB198" t="s">
        <v>81</v>
      </c>
      <c r="AC198" t="s">
        <v>81</v>
      </c>
      <c r="AD198" t="s">
        <v>80</v>
      </c>
      <c r="AE198" t="s">
        <v>81</v>
      </c>
      <c r="AF198" t="s">
        <v>81</v>
      </c>
      <c r="AG198" t="s">
        <v>81</v>
      </c>
      <c r="AH198" t="s">
        <v>80</v>
      </c>
      <c r="AI198" t="s">
        <v>80</v>
      </c>
      <c r="AJ198" t="s">
        <v>80</v>
      </c>
      <c r="AK198">
        <v>3</v>
      </c>
      <c r="AL198">
        <v>4</v>
      </c>
      <c r="AM198">
        <v>3</v>
      </c>
      <c r="AN198" t="s">
        <v>104</v>
      </c>
    </row>
    <row r="199" spans="1:40" x14ac:dyDescent="0.35">
      <c r="A199">
        <v>25</v>
      </c>
      <c r="B199" t="str" cm="1">
        <f t="array" ref="B199">_xlfn.IFS(A199&lt;=25,"18-25",A199&lt;=33,"26-33",A199&lt;=41,"34-41",A199&lt;=49,"42-49",A199&gt;49,"50 or above")</f>
        <v>18-25</v>
      </c>
      <c r="C199" t="s">
        <v>62</v>
      </c>
      <c r="D199" t="s">
        <v>63</v>
      </c>
      <c r="E199" t="s">
        <v>64</v>
      </c>
      <c r="F199" t="s">
        <v>87</v>
      </c>
      <c r="G199" t="s">
        <v>66</v>
      </c>
      <c r="H199" t="s">
        <v>66</v>
      </c>
      <c r="I199">
        <v>1</v>
      </c>
      <c r="J199" t="s">
        <v>67</v>
      </c>
      <c r="P199" t="s">
        <v>67</v>
      </c>
      <c r="Q199" t="s">
        <v>98</v>
      </c>
      <c r="R199" t="s">
        <v>94</v>
      </c>
      <c r="S199" t="s">
        <v>72</v>
      </c>
      <c r="T199" t="s">
        <v>99</v>
      </c>
      <c r="U199" t="s">
        <v>74</v>
      </c>
      <c r="V199" t="s">
        <v>75</v>
      </c>
      <c r="W199" t="s">
        <v>76</v>
      </c>
      <c r="X199" t="s">
        <v>77</v>
      </c>
      <c r="Y199" t="s">
        <v>108</v>
      </c>
      <c r="Z199" t="str">
        <f>_xlfn.TEXTJOIN(",",TRUE,Table1[[#This Row],[Col5]],Table1[[#This Row],[Col4]],Table1[[#This Row],[Col3]],Table1[[#This Row],[Col2]],Table1[[#This Row],[Col1]])</f>
        <v xml:space="preserve"> Medicines, Personal Care, Daily Essentials, Snacks and Beverages,Groceries</v>
      </c>
      <c r="AA199" t="s">
        <v>81</v>
      </c>
      <c r="AB199" t="s">
        <v>81</v>
      </c>
      <c r="AC199" t="s">
        <v>79</v>
      </c>
      <c r="AD199" t="s">
        <v>81</v>
      </c>
      <c r="AE199" t="s">
        <v>79</v>
      </c>
      <c r="AF199" t="s">
        <v>80</v>
      </c>
      <c r="AG199" t="s">
        <v>79</v>
      </c>
      <c r="AH199" t="s">
        <v>81</v>
      </c>
      <c r="AI199" t="s">
        <v>80</v>
      </c>
      <c r="AJ199" t="s">
        <v>81</v>
      </c>
      <c r="AK199">
        <v>4</v>
      </c>
      <c r="AL199">
        <v>3</v>
      </c>
      <c r="AM199">
        <v>3</v>
      </c>
      <c r="AN199" t="s">
        <v>115</v>
      </c>
    </row>
    <row r="200" spans="1:40" x14ac:dyDescent="0.35">
      <c r="A200">
        <v>60</v>
      </c>
      <c r="B200" t="str" cm="1">
        <f t="array" ref="B200">_xlfn.IFS(A200&lt;=25,"18-25",A200&lt;=33,"26-33",A200&lt;=41,"34-41",A200&lt;=49,"42-49",A200&gt;49,"50 or above")</f>
        <v>50 or above</v>
      </c>
      <c r="C200" t="s">
        <v>62</v>
      </c>
      <c r="D200" t="s">
        <v>116</v>
      </c>
      <c r="E200" t="s">
        <v>136</v>
      </c>
      <c r="F200" t="s">
        <v>65</v>
      </c>
      <c r="G200" t="s">
        <v>66</v>
      </c>
      <c r="H200" t="s">
        <v>66</v>
      </c>
      <c r="I200">
        <v>1</v>
      </c>
      <c r="J200" t="s">
        <v>67</v>
      </c>
      <c r="P200" t="s">
        <v>67</v>
      </c>
      <c r="Q200" t="s">
        <v>70</v>
      </c>
      <c r="R200" t="s">
        <v>71</v>
      </c>
      <c r="S200" t="s">
        <v>113</v>
      </c>
      <c r="T200" t="s">
        <v>73</v>
      </c>
      <c r="U200" t="s">
        <v>74</v>
      </c>
      <c r="V200" t="s">
        <v>75</v>
      </c>
      <c r="W200" t="s">
        <v>76</v>
      </c>
      <c r="X200" t="s">
        <v>77</v>
      </c>
      <c r="Z200" t="str">
        <f>_xlfn.TEXTJOIN(",",TRUE,Table1[[#This Row],[Col5]],Table1[[#This Row],[Col4]],Table1[[#This Row],[Col3]],Table1[[#This Row],[Col2]],Table1[[#This Row],[Col1]])</f>
        <v xml:space="preserve"> Personal Care, Daily Essentials, Snacks and Beverages,Groceries</v>
      </c>
      <c r="AA200" t="s">
        <v>80</v>
      </c>
      <c r="AB200" t="s">
        <v>81</v>
      </c>
      <c r="AC200" t="s">
        <v>80</v>
      </c>
      <c r="AD200" t="s">
        <v>81</v>
      </c>
      <c r="AE200" t="s">
        <v>81</v>
      </c>
      <c r="AF200" t="s">
        <v>81</v>
      </c>
      <c r="AG200" t="s">
        <v>80</v>
      </c>
      <c r="AH200" t="s">
        <v>80</v>
      </c>
      <c r="AI200" t="s">
        <v>80</v>
      </c>
      <c r="AJ200" t="s">
        <v>80</v>
      </c>
      <c r="AK200">
        <v>4</v>
      </c>
      <c r="AL200">
        <v>3</v>
      </c>
      <c r="AM200">
        <v>3</v>
      </c>
      <c r="AN200" t="s">
        <v>82</v>
      </c>
    </row>
    <row r="201" spans="1:40" x14ac:dyDescent="0.35">
      <c r="A201">
        <v>29</v>
      </c>
      <c r="B201" t="str" cm="1">
        <f t="array" ref="B201">_xlfn.IFS(A201&lt;=25,"18-25",A201&lt;=33,"26-33",A201&lt;=41,"34-41",A201&lt;=49,"42-49",A201&gt;49,"50 or above")</f>
        <v>26-33</v>
      </c>
      <c r="C201" t="s">
        <v>62</v>
      </c>
      <c r="D201" t="s">
        <v>116</v>
      </c>
      <c r="E201" t="s">
        <v>109</v>
      </c>
      <c r="F201" t="s">
        <v>65</v>
      </c>
      <c r="G201" t="s">
        <v>66</v>
      </c>
      <c r="H201" t="s">
        <v>66</v>
      </c>
      <c r="I201">
        <v>1</v>
      </c>
      <c r="J201" t="s">
        <v>67</v>
      </c>
      <c r="P201" t="s">
        <v>67</v>
      </c>
      <c r="Q201" t="s">
        <v>70</v>
      </c>
      <c r="R201" t="s">
        <v>71</v>
      </c>
      <c r="S201" t="s">
        <v>130</v>
      </c>
      <c r="T201" t="s">
        <v>73</v>
      </c>
      <c r="U201" t="s">
        <v>74</v>
      </c>
      <c r="V201" t="s">
        <v>75</v>
      </c>
      <c r="W201" t="s">
        <v>76</v>
      </c>
      <c r="X201" t="s">
        <v>77</v>
      </c>
      <c r="Z201" t="str">
        <f>_xlfn.TEXTJOIN(",",TRUE,Table1[[#This Row],[Col5]],Table1[[#This Row],[Col4]],Table1[[#This Row],[Col3]],Table1[[#This Row],[Col2]],Table1[[#This Row],[Col1]])</f>
        <v xml:space="preserve"> Personal Care, Daily Essentials, Snacks and Beverages,Groceries</v>
      </c>
      <c r="AA201" t="s">
        <v>81</v>
      </c>
      <c r="AB201" t="s">
        <v>81</v>
      </c>
      <c r="AC201" t="s">
        <v>80</v>
      </c>
      <c r="AD201" t="s">
        <v>81</v>
      </c>
      <c r="AE201" t="s">
        <v>81</v>
      </c>
      <c r="AF201" t="s">
        <v>81</v>
      </c>
      <c r="AG201" t="s">
        <v>80</v>
      </c>
      <c r="AH201" t="s">
        <v>80</v>
      </c>
      <c r="AI201" t="s">
        <v>80</v>
      </c>
      <c r="AJ201" t="s">
        <v>80</v>
      </c>
      <c r="AK201">
        <v>3</v>
      </c>
      <c r="AL201">
        <v>3</v>
      </c>
      <c r="AM201">
        <v>3</v>
      </c>
      <c r="AN201" t="s">
        <v>82</v>
      </c>
    </row>
    <row r="202" spans="1:40" x14ac:dyDescent="0.35">
      <c r="A202">
        <v>45</v>
      </c>
      <c r="B202" t="str" cm="1">
        <f t="array" ref="B202">_xlfn.IFS(A202&lt;=25,"18-25",A202&lt;=33,"26-33",A202&lt;=41,"34-41",A202&lt;=49,"42-49",A202&gt;49,"50 or above")</f>
        <v>42-49</v>
      </c>
      <c r="C202" t="s">
        <v>62</v>
      </c>
      <c r="D202" t="s">
        <v>105</v>
      </c>
      <c r="E202" t="s">
        <v>109</v>
      </c>
      <c r="F202" t="s">
        <v>102</v>
      </c>
      <c r="G202" t="s">
        <v>66</v>
      </c>
      <c r="H202" t="s">
        <v>66</v>
      </c>
      <c r="I202">
        <v>1</v>
      </c>
      <c r="J202" t="s">
        <v>67</v>
      </c>
      <c r="K202" t="s">
        <v>68</v>
      </c>
      <c r="L202" t="s">
        <v>69</v>
      </c>
      <c r="P202" t="s">
        <v>93</v>
      </c>
      <c r="Q202" t="s">
        <v>70</v>
      </c>
      <c r="R202" t="s">
        <v>71</v>
      </c>
      <c r="S202" t="s">
        <v>95</v>
      </c>
      <c r="T202" t="s">
        <v>99</v>
      </c>
      <c r="U202" t="s">
        <v>74</v>
      </c>
      <c r="V202" t="s">
        <v>75</v>
      </c>
      <c r="W202" t="s">
        <v>76</v>
      </c>
      <c r="X202" t="s">
        <v>77</v>
      </c>
      <c r="Y202" t="s">
        <v>108</v>
      </c>
      <c r="Z202" t="str">
        <f>_xlfn.TEXTJOIN(",",TRUE,Table1[[#This Row],[Col5]],Table1[[#This Row],[Col4]],Table1[[#This Row],[Col3]],Table1[[#This Row],[Col2]],Table1[[#This Row],[Col1]])</f>
        <v xml:space="preserve"> Medicines, Personal Care, Daily Essentials, Snacks and Beverages,Groceries</v>
      </c>
      <c r="AA202" t="s">
        <v>81</v>
      </c>
      <c r="AB202" t="s">
        <v>81</v>
      </c>
      <c r="AC202" t="s">
        <v>81</v>
      </c>
      <c r="AD202" t="s">
        <v>80</v>
      </c>
      <c r="AE202" t="s">
        <v>80</v>
      </c>
      <c r="AF202" t="s">
        <v>81</v>
      </c>
      <c r="AG202" t="s">
        <v>80</v>
      </c>
      <c r="AH202" t="s">
        <v>80</v>
      </c>
      <c r="AI202" t="s">
        <v>80</v>
      </c>
      <c r="AJ202" t="s">
        <v>80</v>
      </c>
      <c r="AK202">
        <v>4</v>
      </c>
      <c r="AL202">
        <v>3</v>
      </c>
      <c r="AM202">
        <v>3</v>
      </c>
      <c r="AN202" t="s">
        <v>82</v>
      </c>
    </row>
    <row r="203" spans="1:40" x14ac:dyDescent="0.35">
      <c r="A203">
        <v>24</v>
      </c>
      <c r="B203" t="str" cm="1">
        <f t="array" ref="B203">_xlfn.IFS(A203&lt;=25,"18-25",A203&lt;=33,"26-33",A203&lt;=41,"34-41",A203&lt;=49,"42-49",A203&gt;49,"50 or above")</f>
        <v>18-25</v>
      </c>
      <c r="C203" t="s">
        <v>62</v>
      </c>
      <c r="D203" t="s">
        <v>105</v>
      </c>
      <c r="E203" t="s">
        <v>64</v>
      </c>
      <c r="F203" t="s">
        <v>65</v>
      </c>
      <c r="G203" t="s">
        <v>66</v>
      </c>
      <c r="H203" t="s">
        <v>66</v>
      </c>
      <c r="I203">
        <v>1</v>
      </c>
      <c r="J203" t="s">
        <v>67</v>
      </c>
      <c r="K203" t="s">
        <v>68</v>
      </c>
      <c r="L203" t="s">
        <v>69</v>
      </c>
      <c r="P203" t="s">
        <v>67</v>
      </c>
      <c r="Q203" t="s">
        <v>70</v>
      </c>
      <c r="R203" t="s">
        <v>92</v>
      </c>
      <c r="S203" t="s">
        <v>107</v>
      </c>
      <c r="T203" t="s">
        <v>73</v>
      </c>
      <c r="U203" t="s">
        <v>74</v>
      </c>
      <c r="V203" t="s">
        <v>75</v>
      </c>
      <c r="W203" t="s">
        <v>76</v>
      </c>
      <c r="X203" t="s">
        <v>77</v>
      </c>
      <c r="Z203" t="str">
        <f>_xlfn.TEXTJOIN(",",TRUE,Table1[[#This Row],[Col5]],Table1[[#This Row],[Col4]],Table1[[#This Row],[Col3]],Table1[[#This Row],[Col2]],Table1[[#This Row],[Col1]])</f>
        <v xml:space="preserve"> Personal Care, Daily Essentials, Snacks and Beverages,Groceries</v>
      </c>
      <c r="AA203" t="s">
        <v>81</v>
      </c>
      <c r="AB203" t="s">
        <v>81</v>
      </c>
      <c r="AC203" t="s">
        <v>80</v>
      </c>
      <c r="AD203" t="s">
        <v>81</v>
      </c>
      <c r="AE203" t="s">
        <v>80</v>
      </c>
      <c r="AF203" t="s">
        <v>80</v>
      </c>
      <c r="AG203" t="s">
        <v>80</v>
      </c>
      <c r="AH203" t="s">
        <v>81</v>
      </c>
      <c r="AI203" t="s">
        <v>80</v>
      </c>
      <c r="AJ203" t="s">
        <v>80</v>
      </c>
      <c r="AK203">
        <v>4</v>
      </c>
      <c r="AL203">
        <v>3</v>
      </c>
      <c r="AM203">
        <v>3</v>
      </c>
      <c r="AN203" t="s">
        <v>115</v>
      </c>
    </row>
    <row r="204" spans="1:40" x14ac:dyDescent="0.35">
      <c r="A204">
        <v>36</v>
      </c>
      <c r="B204" t="str" cm="1">
        <f t="array" ref="B204">_xlfn.IFS(A204&lt;=25,"18-25",A204&lt;=33,"26-33",A204&lt;=41,"34-41",A204&lt;=49,"42-49",A204&gt;49,"50 or above")</f>
        <v>34-41</v>
      </c>
      <c r="C204" t="s">
        <v>62</v>
      </c>
      <c r="D204" t="s">
        <v>116</v>
      </c>
      <c r="E204" t="s">
        <v>109</v>
      </c>
      <c r="F204" t="s">
        <v>65</v>
      </c>
      <c r="G204" t="s">
        <v>66</v>
      </c>
      <c r="H204" t="s">
        <v>66</v>
      </c>
      <c r="I204">
        <v>1</v>
      </c>
      <c r="J204" t="s">
        <v>67</v>
      </c>
      <c r="K204" t="s">
        <v>68</v>
      </c>
      <c r="L204" t="s">
        <v>69</v>
      </c>
      <c r="P204" t="s">
        <v>67</v>
      </c>
      <c r="Q204" t="s">
        <v>70</v>
      </c>
      <c r="R204" t="s">
        <v>92</v>
      </c>
      <c r="S204" t="s">
        <v>72</v>
      </c>
      <c r="T204" t="s">
        <v>99</v>
      </c>
      <c r="U204" t="s">
        <v>74</v>
      </c>
      <c r="V204" t="s">
        <v>75</v>
      </c>
      <c r="W204" t="s">
        <v>76</v>
      </c>
      <c r="X204" t="s">
        <v>77</v>
      </c>
      <c r="Z204" t="str">
        <f>_xlfn.TEXTJOIN(",",TRUE,Table1[[#This Row],[Col5]],Table1[[#This Row],[Col4]],Table1[[#This Row],[Col3]],Table1[[#This Row],[Col2]],Table1[[#This Row],[Col1]])</f>
        <v xml:space="preserve"> Personal Care, Daily Essentials, Snacks and Beverages,Groceries</v>
      </c>
      <c r="AA204" t="s">
        <v>81</v>
      </c>
      <c r="AB204" t="s">
        <v>81</v>
      </c>
      <c r="AC204" t="s">
        <v>80</v>
      </c>
      <c r="AD204" t="s">
        <v>80</v>
      </c>
      <c r="AE204" t="s">
        <v>81</v>
      </c>
      <c r="AF204" t="s">
        <v>80</v>
      </c>
      <c r="AG204" t="s">
        <v>80</v>
      </c>
      <c r="AH204" t="s">
        <v>80</v>
      </c>
      <c r="AI204" t="s">
        <v>81</v>
      </c>
      <c r="AJ204" t="s">
        <v>80</v>
      </c>
      <c r="AK204">
        <v>4</v>
      </c>
      <c r="AL204">
        <v>3</v>
      </c>
      <c r="AM204">
        <v>4</v>
      </c>
      <c r="AN204" t="s">
        <v>82</v>
      </c>
    </row>
    <row r="205" spans="1:40" x14ac:dyDescent="0.35">
      <c r="A205">
        <v>62</v>
      </c>
      <c r="B205" t="str" cm="1">
        <f t="array" ref="B205">_xlfn.IFS(A205&lt;=25,"18-25",A205&lt;=33,"26-33",A205&lt;=41,"34-41",A205&lt;=49,"42-49",A205&gt;49,"50 or above")</f>
        <v>50 or above</v>
      </c>
      <c r="C205" t="s">
        <v>62</v>
      </c>
      <c r="D205" t="s">
        <v>105</v>
      </c>
      <c r="E205" t="s">
        <v>86</v>
      </c>
      <c r="F205" t="s">
        <v>87</v>
      </c>
      <c r="G205" t="s">
        <v>66</v>
      </c>
      <c r="H205" t="s">
        <v>66</v>
      </c>
      <c r="I205">
        <v>1</v>
      </c>
      <c r="J205" t="s">
        <v>67</v>
      </c>
      <c r="K205" t="s">
        <v>68</v>
      </c>
      <c r="P205" t="s">
        <v>93</v>
      </c>
      <c r="Q205" t="s">
        <v>103</v>
      </c>
      <c r="R205" t="s">
        <v>94</v>
      </c>
      <c r="S205" t="s">
        <v>72</v>
      </c>
      <c r="T205" t="s">
        <v>112</v>
      </c>
      <c r="X205" t="s">
        <v>131</v>
      </c>
      <c r="Y205" t="s">
        <v>108</v>
      </c>
      <c r="Z205" t="str">
        <f>_xlfn.TEXTJOIN(",",TRUE,Table1[[#This Row],[Col5]],Table1[[#This Row],[Col4]],Table1[[#This Row],[Col3]],Table1[[#This Row],[Col2]],Table1[[#This Row],[Col1]])</f>
        <v xml:space="preserve"> Medicines,Personal Care</v>
      </c>
      <c r="AA205" t="s">
        <v>79</v>
      </c>
      <c r="AB205" t="s">
        <v>80</v>
      </c>
      <c r="AC205" t="s">
        <v>81</v>
      </c>
      <c r="AD205" t="s">
        <v>79</v>
      </c>
      <c r="AE205" t="s">
        <v>78</v>
      </c>
      <c r="AF205" t="s">
        <v>78</v>
      </c>
      <c r="AG205" t="s">
        <v>81</v>
      </c>
      <c r="AH205" t="s">
        <v>79</v>
      </c>
      <c r="AI205" t="s">
        <v>80</v>
      </c>
      <c r="AJ205" t="s">
        <v>81</v>
      </c>
      <c r="AK205">
        <v>4</v>
      </c>
      <c r="AL205">
        <v>5</v>
      </c>
      <c r="AM205">
        <v>4</v>
      </c>
      <c r="AN205" t="s">
        <v>146</v>
      </c>
    </row>
    <row r="206" spans="1:40" x14ac:dyDescent="0.35">
      <c r="A206">
        <v>30</v>
      </c>
      <c r="B206" t="str" cm="1">
        <f t="array" ref="B206">_xlfn.IFS(A206&lt;=25,"18-25",A206&lt;=33,"26-33",A206&lt;=41,"34-41",A206&lt;=49,"42-49",A206&gt;49,"50 or above")</f>
        <v>26-33</v>
      </c>
      <c r="C206" t="s">
        <v>62</v>
      </c>
      <c r="D206" t="s">
        <v>116</v>
      </c>
      <c r="E206" t="s">
        <v>64</v>
      </c>
      <c r="F206" t="s">
        <v>65</v>
      </c>
      <c r="G206" t="s">
        <v>66</v>
      </c>
      <c r="H206" t="s">
        <v>66</v>
      </c>
      <c r="I206">
        <v>1</v>
      </c>
      <c r="K206" t="s">
        <v>93</v>
      </c>
      <c r="P206" t="s">
        <v>93</v>
      </c>
      <c r="Q206" t="s">
        <v>103</v>
      </c>
      <c r="R206" t="s">
        <v>92</v>
      </c>
      <c r="S206" t="s">
        <v>107</v>
      </c>
      <c r="T206" t="s">
        <v>99</v>
      </c>
      <c r="U206" t="s">
        <v>74</v>
      </c>
      <c r="Z206" t="str">
        <f>_xlfn.TEXTJOIN(",",TRUE,Table1[[#This Row],[Col5]],Table1[[#This Row],[Col4]],Table1[[#This Row],[Col3]],Table1[[#This Row],[Col2]],Table1[[#This Row],[Col1]])</f>
        <v>Groceries</v>
      </c>
      <c r="AA206" t="s">
        <v>79</v>
      </c>
      <c r="AB206" t="s">
        <v>80</v>
      </c>
      <c r="AC206" t="s">
        <v>80</v>
      </c>
      <c r="AD206" t="s">
        <v>80</v>
      </c>
      <c r="AE206" t="s">
        <v>80</v>
      </c>
      <c r="AF206" t="s">
        <v>81</v>
      </c>
      <c r="AG206" t="s">
        <v>80</v>
      </c>
      <c r="AH206" t="s">
        <v>81</v>
      </c>
      <c r="AI206" t="s">
        <v>80</v>
      </c>
      <c r="AJ206" t="s">
        <v>80</v>
      </c>
      <c r="AK206">
        <v>3</v>
      </c>
      <c r="AL206">
        <v>3</v>
      </c>
      <c r="AM206">
        <v>3</v>
      </c>
      <c r="AN206" t="s">
        <v>82</v>
      </c>
    </row>
    <row r="207" spans="1:40" x14ac:dyDescent="0.35">
      <c r="A207">
        <v>28</v>
      </c>
      <c r="B207" t="str" cm="1">
        <f t="array" ref="B207">_xlfn.IFS(A207&lt;=25,"18-25",A207&lt;=33,"26-33",A207&lt;=41,"34-41",A207&lt;=49,"42-49",A207&gt;49,"50 or above")</f>
        <v>26-33</v>
      </c>
      <c r="C207" t="s">
        <v>62</v>
      </c>
      <c r="D207" t="s">
        <v>63</v>
      </c>
      <c r="E207" t="s">
        <v>109</v>
      </c>
      <c r="F207" t="s">
        <v>102</v>
      </c>
      <c r="G207" t="s">
        <v>66</v>
      </c>
      <c r="H207" t="s">
        <v>66</v>
      </c>
      <c r="I207">
        <v>1</v>
      </c>
      <c r="J207" t="s">
        <v>67</v>
      </c>
      <c r="K207" t="s">
        <v>68</v>
      </c>
      <c r="L207" t="s">
        <v>69</v>
      </c>
      <c r="P207" t="s">
        <v>93</v>
      </c>
      <c r="Q207" t="s">
        <v>117</v>
      </c>
      <c r="R207" t="s">
        <v>94</v>
      </c>
      <c r="S207" t="s">
        <v>72</v>
      </c>
      <c r="T207" t="s">
        <v>99</v>
      </c>
      <c r="U207" t="s">
        <v>74</v>
      </c>
      <c r="V207" t="s">
        <v>75</v>
      </c>
      <c r="Z207" t="str">
        <f>_xlfn.TEXTJOIN(",",TRUE,Table1[[#This Row],[Col5]],Table1[[#This Row],[Col4]],Table1[[#This Row],[Col3]],Table1[[#This Row],[Col2]],Table1[[#This Row],[Col1]])</f>
        <v xml:space="preserve"> Snacks and Beverages,Groceries</v>
      </c>
      <c r="AA207" t="s">
        <v>81</v>
      </c>
      <c r="AB207" t="s">
        <v>81</v>
      </c>
      <c r="AC207" t="s">
        <v>80</v>
      </c>
      <c r="AD207" t="s">
        <v>81</v>
      </c>
      <c r="AE207" t="s">
        <v>81</v>
      </c>
      <c r="AF207" t="s">
        <v>81</v>
      </c>
      <c r="AG207" t="s">
        <v>80</v>
      </c>
      <c r="AH207" t="s">
        <v>80</v>
      </c>
      <c r="AI207" t="s">
        <v>80</v>
      </c>
      <c r="AJ207" t="s">
        <v>81</v>
      </c>
      <c r="AK207">
        <v>3</v>
      </c>
      <c r="AL207">
        <v>3</v>
      </c>
      <c r="AM207">
        <v>3</v>
      </c>
      <c r="AN207" t="s">
        <v>82</v>
      </c>
    </row>
    <row r="208" spans="1:40" x14ac:dyDescent="0.35">
      <c r="A208">
        <v>27</v>
      </c>
      <c r="B208" t="str" cm="1">
        <f t="array" ref="B208">_xlfn.IFS(A208&lt;=25,"18-25",A208&lt;=33,"26-33",A208&lt;=41,"34-41",A208&lt;=49,"42-49",A208&gt;49,"50 or above")</f>
        <v>26-33</v>
      </c>
      <c r="C208" t="s">
        <v>62</v>
      </c>
      <c r="D208" t="s">
        <v>105</v>
      </c>
      <c r="E208" t="s">
        <v>64</v>
      </c>
      <c r="F208" t="s">
        <v>87</v>
      </c>
      <c r="G208" t="s">
        <v>66</v>
      </c>
      <c r="H208" t="s">
        <v>66</v>
      </c>
      <c r="I208">
        <v>1</v>
      </c>
      <c r="K208" t="s">
        <v>93</v>
      </c>
      <c r="L208" t="s">
        <v>69</v>
      </c>
      <c r="P208" t="s">
        <v>93</v>
      </c>
      <c r="Q208" t="s">
        <v>117</v>
      </c>
      <c r="R208" t="s">
        <v>94</v>
      </c>
      <c r="S208" t="s">
        <v>72</v>
      </c>
      <c r="T208" t="s">
        <v>73</v>
      </c>
      <c r="U208" t="s">
        <v>74</v>
      </c>
      <c r="V208" t="s">
        <v>75</v>
      </c>
      <c r="W208" t="s">
        <v>76</v>
      </c>
      <c r="Z208" t="str">
        <f>_xlfn.TEXTJOIN(",",TRUE,Table1[[#This Row],[Col5]],Table1[[#This Row],[Col4]],Table1[[#This Row],[Col3]],Table1[[#This Row],[Col2]],Table1[[#This Row],[Col1]])</f>
        <v xml:space="preserve"> Daily Essentials, Snacks and Beverages,Groceries</v>
      </c>
      <c r="AA208" t="s">
        <v>81</v>
      </c>
      <c r="AB208" t="s">
        <v>81</v>
      </c>
      <c r="AC208" t="s">
        <v>80</v>
      </c>
      <c r="AD208" t="s">
        <v>80</v>
      </c>
      <c r="AE208" t="s">
        <v>81</v>
      </c>
      <c r="AF208" t="s">
        <v>81</v>
      </c>
      <c r="AG208" t="s">
        <v>81</v>
      </c>
      <c r="AH208" t="s">
        <v>80</v>
      </c>
      <c r="AI208" t="s">
        <v>81</v>
      </c>
      <c r="AJ208" t="s">
        <v>81</v>
      </c>
      <c r="AK208">
        <v>3</v>
      </c>
      <c r="AL208">
        <v>3</v>
      </c>
      <c r="AM208">
        <v>3</v>
      </c>
      <c r="AN208" t="s">
        <v>82</v>
      </c>
    </row>
    <row r="209" spans="1:40" x14ac:dyDescent="0.35">
      <c r="A209">
        <v>27</v>
      </c>
      <c r="B209" t="str" cm="1">
        <f t="array" ref="B209">_xlfn.IFS(A209&lt;=25,"18-25",A209&lt;=33,"26-33",A209&lt;=41,"34-41",A209&lt;=49,"42-49",A209&gt;49,"50 or above")</f>
        <v>26-33</v>
      </c>
      <c r="C209" t="s">
        <v>89</v>
      </c>
      <c r="D209" t="s">
        <v>116</v>
      </c>
      <c r="E209" t="s">
        <v>109</v>
      </c>
      <c r="F209" t="s">
        <v>65</v>
      </c>
      <c r="G209" t="s">
        <v>66</v>
      </c>
      <c r="H209" t="s">
        <v>66</v>
      </c>
      <c r="I209">
        <v>1</v>
      </c>
      <c r="J209" t="s">
        <v>67</v>
      </c>
      <c r="K209" t="s">
        <v>68</v>
      </c>
      <c r="L209" t="s">
        <v>69</v>
      </c>
      <c r="P209" t="s">
        <v>93</v>
      </c>
      <c r="Q209" t="s">
        <v>70</v>
      </c>
      <c r="R209" t="s">
        <v>110</v>
      </c>
      <c r="S209" t="s">
        <v>130</v>
      </c>
      <c r="T209" t="s">
        <v>73</v>
      </c>
      <c r="U209" t="s">
        <v>74</v>
      </c>
      <c r="V209" t="s">
        <v>75</v>
      </c>
      <c r="W209" t="s">
        <v>76</v>
      </c>
      <c r="X209" t="s">
        <v>108</v>
      </c>
      <c r="Z209" t="str">
        <f>_xlfn.TEXTJOIN(",",TRUE,Table1[[#This Row],[Col5]],Table1[[#This Row],[Col4]],Table1[[#This Row],[Col3]],Table1[[#This Row],[Col2]],Table1[[#This Row],[Col1]])</f>
        <v xml:space="preserve"> Medicines, Daily Essentials, Snacks and Beverages,Groceries</v>
      </c>
      <c r="AA209" t="s">
        <v>78</v>
      </c>
      <c r="AB209" t="s">
        <v>80</v>
      </c>
      <c r="AC209" t="s">
        <v>79</v>
      </c>
      <c r="AD209" t="s">
        <v>78</v>
      </c>
      <c r="AE209" t="s">
        <v>79</v>
      </c>
      <c r="AF209" t="s">
        <v>78</v>
      </c>
      <c r="AG209" t="s">
        <v>78</v>
      </c>
      <c r="AH209" t="s">
        <v>78</v>
      </c>
      <c r="AI209" t="s">
        <v>78</v>
      </c>
      <c r="AJ209" t="s">
        <v>78</v>
      </c>
      <c r="AK209">
        <v>5</v>
      </c>
      <c r="AL209">
        <v>5</v>
      </c>
      <c r="AM209">
        <v>5</v>
      </c>
      <c r="AN209" t="s">
        <v>104</v>
      </c>
    </row>
    <row r="210" spans="1:40" x14ac:dyDescent="0.35">
      <c r="A210">
        <v>34</v>
      </c>
      <c r="B210" t="str" cm="1">
        <f t="array" ref="B210">_xlfn.IFS(A210&lt;=25,"18-25",A210&lt;=33,"26-33",A210&lt;=41,"34-41",A210&lt;=49,"42-49",A210&gt;49,"50 or above")</f>
        <v>34-41</v>
      </c>
      <c r="C210" t="s">
        <v>62</v>
      </c>
      <c r="D210" t="s">
        <v>105</v>
      </c>
      <c r="E210" t="s">
        <v>86</v>
      </c>
      <c r="F210" t="s">
        <v>102</v>
      </c>
      <c r="G210" t="s">
        <v>66</v>
      </c>
      <c r="H210" t="s">
        <v>66</v>
      </c>
      <c r="I210">
        <v>1</v>
      </c>
      <c r="J210" t="s">
        <v>67</v>
      </c>
      <c r="P210" t="s">
        <v>67</v>
      </c>
      <c r="Q210" t="s">
        <v>103</v>
      </c>
      <c r="R210" t="s">
        <v>94</v>
      </c>
      <c r="S210" t="s">
        <v>72</v>
      </c>
      <c r="T210" t="s">
        <v>99</v>
      </c>
      <c r="U210" t="s">
        <v>74</v>
      </c>
      <c r="W210" t="s">
        <v>76</v>
      </c>
      <c r="X210" t="s">
        <v>77</v>
      </c>
      <c r="Z210" t="str">
        <f>_xlfn.TEXTJOIN(",",TRUE,Table1[[#This Row],[Col5]],Table1[[#This Row],[Col4]],Table1[[#This Row],[Col3]],Table1[[#This Row],[Col2]],Table1[[#This Row],[Col1]])</f>
        <v xml:space="preserve"> Personal Care, Daily Essentials,Groceries</v>
      </c>
      <c r="AA210" t="s">
        <v>81</v>
      </c>
      <c r="AB210" t="s">
        <v>80</v>
      </c>
      <c r="AC210" t="s">
        <v>80</v>
      </c>
      <c r="AD210" t="s">
        <v>81</v>
      </c>
      <c r="AE210" t="s">
        <v>80</v>
      </c>
      <c r="AF210" t="s">
        <v>81</v>
      </c>
      <c r="AG210" t="s">
        <v>81</v>
      </c>
      <c r="AH210" t="s">
        <v>80</v>
      </c>
      <c r="AI210" t="s">
        <v>80</v>
      </c>
      <c r="AJ210" t="s">
        <v>80</v>
      </c>
      <c r="AK210">
        <v>4</v>
      </c>
      <c r="AL210">
        <v>4</v>
      </c>
      <c r="AM210">
        <v>4</v>
      </c>
      <c r="AN210" t="s">
        <v>82</v>
      </c>
    </row>
    <row r="211" spans="1:40" x14ac:dyDescent="0.35">
      <c r="A211">
        <v>39</v>
      </c>
      <c r="B211" t="str" cm="1">
        <f t="array" ref="B211">_xlfn.IFS(A211&lt;=25,"18-25",A211&lt;=33,"26-33",A211&lt;=41,"34-41",A211&lt;=49,"42-49",A211&gt;49,"50 or above")</f>
        <v>34-41</v>
      </c>
      <c r="C211" t="s">
        <v>62</v>
      </c>
      <c r="D211" t="s">
        <v>116</v>
      </c>
      <c r="E211" t="s">
        <v>109</v>
      </c>
      <c r="F211" t="s">
        <v>102</v>
      </c>
      <c r="G211" t="s">
        <v>66</v>
      </c>
      <c r="H211" t="s">
        <v>66</v>
      </c>
      <c r="I211">
        <v>1</v>
      </c>
      <c r="J211" t="s">
        <v>67</v>
      </c>
      <c r="K211" t="s">
        <v>68</v>
      </c>
      <c r="P211" t="s">
        <v>67</v>
      </c>
      <c r="Q211" t="s">
        <v>70</v>
      </c>
      <c r="R211" t="s">
        <v>92</v>
      </c>
      <c r="S211" t="s">
        <v>72</v>
      </c>
      <c r="T211" t="s">
        <v>73</v>
      </c>
      <c r="U211" t="s">
        <v>74</v>
      </c>
      <c r="V211" t="s">
        <v>75</v>
      </c>
      <c r="W211" t="s">
        <v>76</v>
      </c>
      <c r="X211" t="s">
        <v>77</v>
      </c>
      <c r="Z211" t="str">
        <f>_xlfn.TEXTJOIN(",",TRUE,Table1[[#This Row],[Col5]],Table1[[#This Row],[Col4]],Table1[[#This Row],[Col3]],Table1[[#This Row],[Col2]],Table1[[#This Row],[Col1]])</f>
        <v xml:space="preserve"> Personal Care, Daily Essentials, Snacks and Beverages,Groceries</v>
      </c>
      <c r="AA211" t="s">
        <v>81</v>
      </c>
      <c r="AB211" t="s">
        <v>80</v>
      </c>
      <c r="AC211" t="s">
        <v>81</v>
      </c>
      <c r="AD211" t="s">
        <v>80</v>
      </c>
      <c r="AE211" t="s">
        <v>81</v>
      </c>
      <c r="AF211" t="s">
        <v>81</v>
      </c>
      <c r="AG211" t="s">
        <v>80</v>
      </c>
      <c r="AH211" t="s">
        <v>80</v>
      </c>
      <c r="AI211" t="s">
        <v>80</v>
      </c>
      <c r="AJ211" t="s">
        <v>80</v>
      </c>
      <c r="AK211">
        <v>3</v>
      </c>
      <c r="AL211">
        <v>3</v>
      </c>
      <c r="AM211">
        <v>3</v>
      </c>
      <c r="AN211" t="s">
        <v>82</v>
      </c>
    </row>
    <row r="212" spans="1:40" x14ac:dyDescent="0.35">
      <c r="A212">
        <v>45</v>
      </c>
      <c r="B212" t="str" cm="1">
        <f t="array" ref="B212">_xlfn.IFS(A212&lt;=25,"18-25",A212&lt;=33,"26-33",A212&lt;=41,"34-41",A212&lt;=49,"42-49",A212&gt;49,"50 or above")</f>
        <v>42-49</v>
      </c>
      <c r="C212" t="s">
        <v>62</v>
      </c>
      <c r="D212" t="s">
        <v>116</v>
      </c>
      <c r="E212" t="s">
        <v>86</v>
      </c>
      <c r="F212" t="s">
        <v>65</v>
      </c>
      <c r="G212" t="s">
        <v>66</v>
      </c>
      <c r="H212" t="s">
        <v>66</v>
      </c>
      <c r="I212">
        <v>1</v>
      </c>
      <c r="J212" t="s">
        <v>67</v>
      </c>
      <c r="P212" t="s">
        <v>67</v>
      </c>
      <c r="Q212" t="s">
        <v>103</v>
      </c>
      <c r="R212" t="s">
        <v>94</v>
      </c>
      <c r="S212" t="s">
        <v>72</v>
      </c>
      <c r="T212" t="s">
        <v>99</v>
      </c>
      <c r="U212" t="s">
        <v>74</v>
      </c>
      <c r="V212" t="s">
        <v>75</v>
      </c>
      <c r="W212" t="s">
        <v>76</v>
      </c>
      <c r="X212" t="s">
        <v>77</v>
      </c>
      <c r="Z212" t="str">
        <f>_xlfn.TEXTJOIN(",",TRUE,Table1[[#This Row],[Col5]],Table1[[#This Row],[Col4]],Table1[[#This Row],[Col3]],Table1[[#This Row],[Col2]],Table1[[#This Row],[Col1]])</f>
        <v xml:space="preserve"> Personal Care, Daily Essentials, Snacks and Beverages,Groceries</v>
      </c>
      <c r="AA212" t="s">
        <v>81</v>
      </c>
      <c r="AB212" t="s">
        <v>80</v>
      </c>
      <c r="AC212" t="s">
        <v>80</v>
      </c>
      <c r="AD212" t="s">
        <v>81</v>
      </c>
      <c r="AE212" t="s">
        <v>80</v>
      </c>
      <c r="AF212" t="s">
        <v>81</v>
      </c>
      <c r="AG212" t="s">
        <v>81</v>
      </c>
      <c r="AH212" t="s">
        <v>80</v>
      </c>
      <c r="AI212" t="s">
        <v>81</v>
      </c>
      <c r="AJ212" t="s">
        <v>81</v>
      </c>
      <c r="AK212">
        <v>4</v>
      </c>
      <c r="AL212">
        <v>3</v>
      </c>
      <c r="AM212">
        <v>3</v>
      </c>
      <c r="AN212" t="s">
        <v>82</v>
      </c>
    </row>
    <row r="213" spans="1:40" x14ac:dyDescent="0.35">
      <c r="A213">
        <v>47</v>
      </c>
      <c r="B213" t="str" cm="1">
        <f t="array" ref="B213">_xlfn.IFS(A213&lt;=25,"18-25",A213&lt;=33,"26-33",A213&lt;=41,"34-41",A213&lt;=49,"42-49",A213&gt;49,"50 or above")</f>
        <v>42-49</v>
      </c>
      <c r="C213" t="s">
        <v>62</v>
      </c>
      <c r="D213" t="s">
        <v>105</v>
      </c>
      <c r="E213" t="s">
        <v>86</v>
      </c>
      <c r="F213" t="s">
        <v>102</v>
      </c>
      <c r="G213" t="s">
        <v>66</v>
      </c>
      <c r="H213" t="s">
        <v>66</v>
      </c>
      <c r="I213">
        <v>1</v>
      </c>
      <c r="J213" t="s">
        <v>67</v>
      </c>
      <c r="P213" t="s">
        <v>67</v>
      </c>
      <c r="Q213" t="s">
        <v>98</v>
      </c>
      <c r="R213" t="s">
        <v>92</v>
      </c>
      <c r="S213" t="s">
        <v>107</v>
      </c>
      <c r="T213" t="s">
        <v>99</v>
      </c>
      <c r="U213" t="s">
        <v>74</v>
      </c>
      <c r="V213" t="s">
        <v>75</v>
      </c>
      <c r="W213" t="s">
        <v>76</v>
      </c>
      <c r="X213" t="s">
        <v>77</v>
      </c>
      <c r="Z213" t="str">
        <f>_xlfn.TEXTJOIN(",",TRUE,Table1[[#This Row],[Col5]],Table1[[#This Row],[Col4]],Table1[[#This Row],[Col3]],Table1[[#This Row],[Col2]],Table1[[#This Row],[Col1]])</f>
        <v xml:space="preserve"> Personal Care, Daily Essentials, Snacks and Beverages,Groceries</v>
      </c>
      <c r="AA213" t="s">
        <v>79</v>
      </c>
      <c r="AB213" t="s">
        <v>81</v>
      </c>
      <c r="AC213" t="s">
        <v>81</v>
      </c>
      <c r="AD213" t="s">
        <v>80</v>
      </c>
      <c r="AE213" t="s">
        <v>80</v>
      </c>
      <c r="AF213" t="s">
        <v>81</v>
      </c>
      <c r="AG213" t="s">
        <v>81</v>
      </c>
      <c r="AH213" t="s">
        <v>80</v>
      </c>
      <c r="AI213" t="s">
        <v>80</v>
      </c>
      <c r="AJ213" t="s">
        <v>80</v>
      </c>
      <c r="AK213">
        <v>3</v>
      </c>
      <c r="AL213">
        <v>3</v>
      </c>
      <c r="AM213">
        <v>3</v>
      </c>
      <c r="AN213" t="s">
        <v>82</v>
      </c>
    </row>
    <row r="214" spans="1:40" x14ac:dyDescent="0.35">
      <c r="A214">
        <v>34</v>
      </c>
      <c r="B214" t="str" cm="1">
        <f t="array" ref="B214">_xlfn.IFS(A214&lt;=25,"18-25",A214&lt;=33,"26-33",A214&lt;=41,"34-41",A214&lt;=49,"42-49",A214&gt;49,"50 or above")</f>
        <v>34-41</v>
      </c>
      <c r="C214" t="s">
        <v>62</v>
      </c>
      <c r="D214" t="s">
        <v>105</v>
      </c>
      <c r="E214" t="s">
        <v>86</v>
      </c>
      <c r="F214" t="s">
        <v>65</v>
      </c>
      <c r="G214" t="s">
        <v>66</v>
      </c>
      <c r="H214" t="s">
        <v>66</v>
      </c>
      <c r="I214">
        <v>1</v>
      </c>
      <c r="J214" t="s">
        <v>67</v>
      </c>
      <c r="K214" t="s">
        <v>68</v>
      </c>
      <c r="L214" t="s">
        <v>69</v>
      </c>
      <c r="P214" t="s">
        <v>67</v>
      </c>
      <c r="Q214" t="s">
        <v>70</v>
      </c>
      <c r="R214" t="s">
        <v>92</v>
      </c>
      <c r="S214" t="s">
        <v>95</v>
      </c>
      <c r="T214" t="s">
        <v>99</v>
      </c>
      <c r="U214" t="s">
        <v>74</v>
      </c>
      <c r="V214" t="s">
        <v>75</v>
      </c>
      <c r="W214" t="s">
        <v>76</v>
      </c>
      <c r="X214" t="s">
        <v>77</v>
      </c>
      <c r="Z214" t="str">
        <f>_xlfn.TEXTJOIN(",",TRUE,Table1[[#This Row],[Col5]],Table1[[#This Row],[Col4]],Table1[[#This Row],[Col3]],Table1[[#This Row],[Col2]],Table1[[#This Row],[Col1]])</f>
        <v xml:space="preserve"> Personal Care, Daily Essentials, Snacks and Beverages,Groceries</v>
      </c>
      <c r="AA214" t="s">
        <v>81</v>
      </c>
      <c r="AB214" t="s">
        <v>81</v>
      </c>
      <c r="AC214" t="s">
        <v>80</v>
      </c>
      <c r="AD214" t="s">
        <v>80</v>
      </c>
      <c r="AE214" t="s">
        <v>81</v>
      </c>
      <c r="AF214" t="s">
        <v>81</v>
      </c>
      <c r="AG214" t="s">
        <v>80</v>
      </c>
      <c r="AH214" t="s">
        <v>80</v>
      </c>
      <c r="AI214" t="s">
        <v>80</v>
      </c>
      <c r="AJ214" t="s">
        <v>81</v>
      </c>
      <c r="AK214">
        <v>3</v>
      </c>
      <c r="AL214">
        <v>3</v>
      </c>
      <c r="AM214">
        <v>3</v>
      </c>
      <c r="AN214" t="s">
        <v>82</v>
      </c>
    </row>
    <row r="215" spans="1:40" x14ac:dyDescent="0.35">
      <c r="A215">
        <v>35</v>
      </c>
      <c r="B215" t="str" cm="1">
        <f t="array" ref="B215">_xlfn.IFS(A215&lt;=25,"18-25",A215&lt;=33,"26-33",A215&lt;=41,"34-41",A215&lt;=49,"42-49",A215&gt;49,"50 or above")</f>
        <v>34-41</v>
      </c>
      <c r="C215" t="s">
        <v>62</v>
      </c>
      <c r="D215" t="s">
        <v>63</v>
      </c>
      <c r="E215" t="s">
        <v>86</v>
      </c>
      <c r="F215" t="s">
        <v>65</v>
      </c>
      <c r="G215" t="s">
        <v>66</v>
      </c>
      <c r="H215" t="s">
        <v>66</v>
      </c>
      <c r="I215">
        <v>1</v>
      </c>
      <c r="J215" t="s">
        <v>67</v>
      </c>
      <c r="K215" t="s">
        <v>68</v>
      </c>
      <c r="L215" t="s">
        <v>69</v>
      </c>
      <c r="P215" t="s">
        <v>91</v>
      </c>
      <c r="Q215" t="s">
        <v>70</v>
      </c>
      <c r="R215" t="s">
        <v>110</v>
      </c>
      <c r="S215" t="s">
        <v>130</v>
      </c>
      <c r="T215" t="s">
        <v>99</v>
      </c>
      <c r="V215" t="s">
        <v>96</v>
      </c>
      <c r="Z215" t="str">
        <f>_xlfn.TEXTJOIN(",",TRUE,Table1[[#This Row],[Col5]],Table1[[#This Row],[Col4]],Table1[[#This Row],[Col3]],Table1[[#This Row],[Col2]],Table1[[#This Row],[Col1]])</f>
        <v>Snacks and Beverages</v>
      </c>
      <c r="AA215" t="s">
        <v>78</v>
      </c>
      <c r="AB215" t="s">
        <v>78</v>
      </c>
      <c r="AC215" t="s">
        <v>79</v>
      </c>
      <c r="AD215" t="s">
        <v>78</v>
      </c>
      <c r="AE215" t="s">
        <v>79</v>
      </c>
      <c r="AF215" t="s">
        <v>78</v>
      </c>
      <c r="AG215" t="s">
        <v>81</v>
      </c>
      <c r="AH215" t="s">
        <v>78</v>
      </c>
      <c r="AI215" t="s">
        <v>78</v>
      </c>
      <c r="AJ215" t="s">
        <v>78</v>
      </c>
      <c r="AK215">
        <v>5</v>
      </c>
      <c r="AL215">
        <v>5</v>
      </c>
      <c r="AM215">
        <v>5</v>
      </c>
      <c r="AN215" t="s">
        <v>82</v>
      </c>
    </row>
    <row r="216" spans="1:40" x14ac:dyDescent="0.35">
      <c r="A216">
        <v>39</v>
      </c>
      <c r="B216" t="str" cm="1">
        <f t="array" ref="B216">_xlfn.IFS(A216&lt;=25,"18-25",A216&lt;=33,"26-33",A216&lt;=41,"34-41",A216&lt;=49,"42-49",A216&gt;49,"50 or above")</f>
        <v>34-41</v>
      </c>
      <c r="C216" t="s">
        <v>89</v>
      </c>
      <c r="D216" t="s">
        <v>63</v>
      </c>
      <c r="E216" t="s">
        <v>86</v>
      </c>
      <c r="F216" t="s">
        <v>87</v>
      </c>
      <c r="G216" t="s">
        <v>66</v>
      </c>
      <c r="H216" t="s">
        <v>66</v>
      </c>
      <c r="I216">
        <v>1</v>
      </c>
      <c r="J216" t="s">
        <v>67</v>
      </c>
      <c r="K216" t="s">
        <v>68</v>
      </c>
      <c r="L216" t="s">
        <v>69</v>
      </c>
      <c r="P216" t="s">
        <v>93</v>
      </c>
      <c r="Q216" t="s">
        <v>103</v>
      </c>
      <c r="R216" t="s">
        <v>92</v>
      </c>
      <c r="S216" t="s">
        <v>107</v>
      </c>
      <c r="T216" t="s">
        <v>112</v>
      </c>
      <c r="U216" t="s">
        <v>74</v>
      </c>
      <c r="W216" t="s">
        <v>76</v>
      </c>
      <c r="X216" t="s">
        <v>77</v>
      </c>
      <c r="Z216" t="str">
        <f>_xlfn.TEXTJOIN(",",TRUE,Table1[[#This Row],[Col5]],Table1[[#This Row],[Col4]],Table1[[#This Row],[Col3]],Table1[[#This Row],[Col2]],Table1[[#This Row],[Col1]])</f>
        <v xml:space="preserve"> Personal Care, Daily Essentials,Groceries</v>
      </c>
      <c r="AA216" t="s">
        <v>80</v>
      </c>
      <c r="AB216" t="s">
        <v>80</v>
      </c>
      <c r="AC216" t="s">
        <v>78</v>
      </c>
      <c r="AD216" t="s">
        <v>81</v>
      </c>
      <c r="AE216" t="s">
        <v>78</v>
      </c>
      <c r="AF216" t="s">
        <v>80</v>
      </c>
      <c r="AG216" t="s">
        <v>81</v>
      </c>
      <c r="AH216" t="s">
        <v>78</v>
      </c>
      <c r="AI216" t="s">
        <v>80</v>
      </c>
      <c r="AJ216" t="s">
        <v>80</v>
      </c>
      <c r="AK216">
        <v>3</v>
      </c>
      <c r="AL216">
        <v>4</v>
      </c>
      <c r="AM216">
        <v>3</v>
      </c>
      <c r="AN216" t="s">
        <v>128</v>
      </c>
    </row>
    <row r="217" spans="1:40" x14ac:dyDescent="0.35">
      <c r="A217">
        <v>40</v>
      </c>
      <c r="B217" t="str" cm="1">
        <f t="array" ref="B217">_xlfn.IFS(A217&lt;=25,"18-25",A217&lt;=33,"26-33",A217&lt;=41,"34-41",A217&lt;=49,"42-49",A217&gt;49,"50 or above")</f>
        <v>34-41</v>
      </c>
      <c r="C217" t="s">
        <v>62</v>
      </c>
      <c r="D217" t="s">
        <v>116</v>
      </c>
      <c r="E217" t="s">
        <v>109</v>
      </c>
      <c r="F217" t="s">
        <v>102</v>
      </c>
      <c r="G217" t="s">
        <v>66</v>
      </c>
      <c r="H217" t="s">
        <v>66</v>
      </c>
      <c r="I217">
        <v>1</v>
      </c>
      <c r="J217" t="s">
        <v>67</v>
      </c>
      <c r="K217" t="s">
        <v>68</v>
      </c>
      <c r="L217" t="s">
        <v>69</v>
      </c>
      <c r="P217" t="s">
        <v>91</v>
      </c>
      <c r="Q217" t="s">
        <v>103</v>
      </c>
      <c r="R217" t="s">
        <v>92</v>
      </c>
      <c r="S217" t="s">
        <v>95</v>
      </c>
      <c r="T217" t="s">
        <v>112</v>
      </c>
      <c r="U217" t="s">
        <v>74</v>
      </c>
      <c r="V217" t="s">
        <v>75</v>
      </c>
      <c r="Y217" t="s">
        <v>108</v>
      </c>
      <c r="Z217" t="str">
        <f>_xlfn.TEXTJOIN(",",TRUE,Table1[[#This Row],[Col5]],Table1[[#This Row],[Col4]],Table1[[#This Row],[Col3]],Table1[[#This Row],[Col2]],Table1[[#This Row],[Col1]])</f>
        <v xml:space="preserve"> Medicines, Snacks and Beverages,Groceries</v>
      </c>
      <c r="AA217" t="s">
        <v>81</v>
      </c>
      <c r="AB217" t="s">
        <v>81</v>
      </c>
      <c r="AC217" t="s">
        <v>78</v>
      </c>
      <c r="AD217" t="s">
        <v>81</v>
      </c>
      <c r="AE217" t="s">
        <v>78</v>
      </c>
      <c r="AF217" t="s">
        <v>80</v>
      </c>
      <c r="AG217" t="s">
        <v>81</v>
      </c>
      <c r="AH217" t="s">
        <v>80</v>
      </c>
      <c r="AI217" t="s">
        <v>81</v>
      </c>
      <c r="AJ217" t="s">
        <v>78</v>
      </c>
      <c r="AK217">
        <v>4</v>
      </c>
      <c r="AL217">
        <v>5</v>
      </c>
      <c r="AM217">
        <v>5</v>
      </c>
      <c r="AN217" t="s">
        <v>148</v>
      </c>
    </row>
    <row r="218" spans="1:40" x14ac:dyDescent="0.35">
      <c r="A218">
        <v>59</v>
      </c>
      <c r="B218" t="str" cm="1">
        <f t="array" ref="B218">_xlfn.IFS(A218&lt;=25,"18-25",A218&lt;=33,"26-33",A218&lt;=41,"34-41",A218&lt;=49,"42-49",A218&gt;49,"50 or above")</f>
        <v>50 or above</v>
      </c>
      <c r="C218" t="s">
        <v>89</v>
      </c>
      <c r="D218" t="s">
        <v>105</v>
      </c>
      <c r="E218" t="s">
        <v>136</v>
      </c>
      <c r="F218" t="s">
        <v>90</v>
      </c>
      <c r="G218" t="s">
        <v>66</v>
      </c>
      <c r="H218" t="s">
        <v>66</v>
      </c>
      <c r="I218">
        <v>1</v>
      </c>
      <c r="J218" t="s">
        <v>67</v>
      </c>
      <c r="L218" t="s">
        <v>69</v>
      </c>
      <c r="P218" t="s">
        <v>91</v>
      </c>
      <c r="Q218" t="s">
        <v>98</v>
      </c>
      <c r="R218" t="s">
        <v>94</v>
      </c>
      <c r="S218" t="s">
        <v>113</v>
      </c>
      <c r="T218" t="s">
        <v>99</v>
      </c>
      <c r="U218" t="s">
        <v>74</v>
      </c>
      <c r="W218" t="s">
        <v>76</v>
      </c>
      <c r="Y218" t="s">
        <v>108</v>
      </c>
      <c r="Z218" t="str">
        <f>_xlfn.TEXTJOIN(",",TRUE,Table1[[#This Row],[Col5]],Table1[[#This Row],[Col4]],Table1[[#This Row],[Col3]],Table1[[#This Row],[Col2]],Table1[[#This Row],[Col1]])</f>
        <v xml:space="preserve"> Medicines, Daily Essentials,Groceries</v>
      </c>
      <c r="AA218" t="s">
        <v>81</v>
      </c>
      <c r="AB218" t="s">
        <v>81</v>
      </c>
      <c r="AC218" t="s">
        <v>81</v>
      </c>
      <c r="AD218" t="s">
        <v>81</v>
      </c>
      <c r="AE218" t="s">
        <v>81</v>
      </c>
      <c r="AF218" t="s">
        <v>81</v>
      </c>
      <c r="AG218" t="s">
        <v>81</v>
      </c>
      <c r="AH218" t="s">
        <v>81</v>
      </c>
      <c r="AI218" t="s">
        <v>81</v>
      </c>
      <c r="AJ218" t="s">
        <v>80</v>
      </c>
      <c r="AK218">
        <v>3</v>
      </c>
      <c r="AL218">
        <v>2</v>
      </c>
      <c r="AM218">
        <v>2</v>
      </c>
      <c r="AN218" t="s">
        <v>115</v>
      </c>
    </row>
    <row r="219" spans="1:40" x14ac:dyDescent="0.35">
      <c r="A219">
        <v>46</v>
      </c>
      <c r="B219" t="str" cm="1">
        <f t="array" ref="B219">_xlfn.IFS(A219&lt;=25,"18-25",A219&lt;=33,"26-33",A219&lt;=41,"34-41",A219&lt;=49,"42-49",A219&gt;49,"50 or above")</f>
        <v>42-49</v>
      </c>
      <c r="C219" t="s">
        <v>62</v>
      </c>
      <c r="D219" t="s">
        <v>119</v>
      </c>
      <c r="E219" t="s">
        <v>109</v>
      </c>
      <c r="F219" t="s">
        <v>90</v>
      </c>
      <c r="G219" t="s">
        <v>66</v>
      </c>
      <c r="H219" t="s">
        <v>66</v>
      </c>
      <c r="I219">
        <v>1</v>
      </c>
      <c r="J219" t="s">
        <v>67</v>
      </c>
      <c r="P219" t="s">
        <v>67</v>
      </c>
      <c r="Q219" t="s">
        <v>103</v>
      </c>
      <c r="R219" t="s">
        <v>94</v>
      </c>
      <c r="S219" t="s">
        <v>95</v>
      </c>
      <c r="T219" t="s">
        <v>99</v>
      </c>
      <c r="Y219" t="s">
        <v>135</v>
      </c>
      <c r="Z219" t="str">
        <f>_xlfn.TEXTJOIN(",",TRUE,Table1[[#This Row],[Col5]],Table1[[#This Row],[Col4]],Table1[[#This Row],[Col3]],Table1[[#This Row],[Col2]],Table1[[#This Row],[Col1]])</f>
        <v>Medicines</v>
      </c>
      <c r="AA219" t="s">
        <v>81</v>
      </c>
      <c r="AB219" t="s">
        <v>81</v>
      </c>
      <c r="AC219" t="s">
        <v>78</v>
      </c>
      <c r="AD219" t="s">
        <v>81</v>
      </c>
      <c r="AE219" t="s">
        <v>81</v>
      </c>
      <c r="AF219" t="s">
        <v>79</v>
      </c>
      <c r="AG219" t="s">
        <v>81</v>
      </c>
      <c r="AH219" t="s">
        <v>81</v>
      </c>
      <c r="AI219" t="s">
        <v>79</v>
      </c>
      <c r="AJ219" t="s">
        <v>79</v>
      </c>
      <c r="AK219">
        <v>2</v>
      </c>
      <c r="AL219">
        <v>2</v>
      </c>
      <c r="AM219">
        <v>1</v>
      </c>
      <c r="AN219" t="s">
        <v>115</v>
      </c>
    </row>
    <row r="220" spans="1:40" x14ac:dyDescent="0.35">
      <c r="A220">
        <v>36</v>
      </c>
      <c r="B220" t="str" cm="1">
        <f t="array" ref="B220">_xlfn.IFS(A220&lt;=25,"18-25",A220&lt;=33,"26-33",A220&lt;=41,"34-41",A220&lt;=49,"42-49",A220&gt;49,"50 or above")</f>
        <v>34-41</v>
      </c>
      <c r="C220" t="s">
        <v>89</v>
      </c>
      <c r="D220" t="s">
        <v>120</v>
      </c>
      <c r="E220" t="s">
        <v>121</v>
      </c>
      <c r="F220" t="s">
        <v>87</v>
      </c>
      <c r="G220" t="s">
        <v>66</v>
      </c>
      <c r="H220" t="s">
        <v>66</v>
      </c>
      <c r="I220">
        <v>1</v>
      </c>
      <c r="L220" t="s">
        <v>91</v>
      </c>
      <c r="P220" t="s">
        <v>91</v>
      </c>
      <c r="Q220" t="s">
        <v>98</v>
      </c>
      <c r="R220" t="s">
        <v>94</v>
      </c>
      <c r="S220" t="s">
        <v>113</v>
      </c>
      <c r="T220" t="s">
        <v>99</v>
      </c>
      <c r="U220" t="s">
        <v>74</v>
      </c>
      <c r="Z220" t="str">
        <f>_xlfn.TEXTJOIN(",",TRUE,Table1[[#This Row],[Col5]],Table1[[#This Row],[Col4]],Table1[[#This Row],[Col3]],Table1[[#This Row],[Col2]],Table1[[#This Row],[Col1]])</f>
        <v>Groceries</v>
      </c>
      <c r="AA220" t="s">
        <v>81</v>
      </c>
      <c r="AB220" t="s">
        <v>81</v>
      </c>
      <c r="AC220" t="s">
        <v>78</v>
      </c>
      <c r="AD220" t="s">
        <v>81</v>
      </c>
      <c r="AE220" t="s">
        <v>78</v>
      </c>
      <c r="AF220" t="s">
        <v>81</v>
      </c>
      <c r="AG220" t="s">
        <v>81</v>
      </c>
      <c r="AH220" t="s">
        <v>78</v>
      </c>
      <c r="AI220" t="s">
        <v>101</v>
      </c>
      <c r="AJ220" t="s">
        <v>81</v>
      </c>
      <c r="AK220">
        <v>2</v>
      </c>
      <c r="AL220">
        <v>3</v>
      </c>
      <c r="AM220">
        <v>3</v>
      </c>
      <c r="AN220" t="s">
        <v>97</v>
      </c>
    </row>
    <row r="221" spans="1:40" x14ac:dyDescent="0.35">
      <c r="A221">
        <v>27</v>
      </c>
      <c r="B221" t="str" cm="1">
        <f t="array" ref="B221">_xlfn.IFS(A221&lt;=25,"18-25",A221&lt;=33,"26-33",A221&lt;=41,"34-41",A221&lt;=49,"42-49",A221&gt;49,"50 or above")</f>
        <v>26-33</v>
      </c>
      <c r="C221" t="s">
        <v>89</v>
      </c>
      <c r="D221" t="s">
        <v>116</v>
      </c>
      <c r="E221" t="s">
        <v>109</v>
      </c>
      <c r="F221" t="s">
        <v>65</v>
      </c>
      <c r="G221" t="s">
        <v>66</v>
      </c>
      <c r="H221" t="s">
        <v>66</v>
      </c>
      <c r="I221">
        <v>1</v>
      </c>
      <c r="J221" t="s">
        <v>67</v>
      </c>
      <c r="K221" t="s">
        <v>68</v>
      </c>
      <c r="L221" t="s">
        <v>69</v>
      </c>
      <c r="P221" t="s">
        <v>91</v>
      </c>
      <c r="Q221" t="s">
        <v>70</v>
      </c>
      <c r="R221" t="s">
        <v>110</v>
      </c>
      <c r="S221" t="s">
        <v>95</v>
      </c>
      <c r="T221" t="s">
        <v>73</v>
      </c>
      <c r="U221" t="s">
        <v>74</v>
      </c>
      <c r="V221" t="s">
        <v>75</v>
      </c>
      <c r="W221" t="s">
        <v>76</v>
      </c>
      <c r="X221" t="s">
        <v>77</v>
      </c>
      <c r="Y221" t="s">
        <v>108</v>
      </c>
      <c r="Z221" t="str">
        <f>_xlfn.TEXTJOIN(",",TRUE,Table1[[#This Row],[Col5]],Table1[[#This Row],[Col4]],Table1[[#This Row],[Col3]],Table1[[#This Row],[Col2]],Table1[[#This Row],[Col1]])</f>
        <v xml:space="preserve"> Medicines, Personal Care, Daily Essentials, Snacks and Beverages,Groceries</v>
      </c>
      <c r="AA221" t="s">
        <v>78</v>
      </c>
      <c r="AB221" t="s">
        <v>78</v>
      </c>
      <c r="AC221" t="s">
        <v>101</v>
      </c>
      <c r="AD221" t="s">
        <v>78</v>
      </c>
      <c r="AE221" t="s">
        <v>101</v>
      </c>
      <c r="AF221" t="s">
        <v>81</v>
      </c>
      <c r="AG221" t="s">
        <v>81</v>
      </c>
      <c r="AH221" t="s">
        <v>78</v>
      </c>
      <c r="AI221" t="s">
        <v>78</v>
      </c>
      <c r="AJ221" t="s">
        <v>78</v>
      </c>
      <c r="AK221">
        <v>5</v>
      </c>
      <c r="AL221">
        <v>5</v>
      </c>
      <c r="AM221">
        <v>5</v>
      </c>
      <c r="AN221" t="s">
        <v>133</v>
      </c>
    </row>
    <row r="222" spans="1:40" x14ac:dyDescent="0.35">
      <c r="A222">
        <v>32</v>
      </c>
      <c r="B222" t="str" cm="1">
        <f t="array" ref="B222">_xlfn.IFS(A222&lt;=25,"18-25",A222&lt;=33,"26-33",A222&lt;=41,"34-41",A222&lt;=49,"42-49",A222&gt;49,"50 or above")</f>
        <v>26-33</v>
      </c>
      <c r="C222" t="s">
        <v>62</v>
      </c>
      <c r="D222" t="s">
        <v>63</v>
      </c>
      <c r="E222" t="s">
        <v>86</v>
      </c>
      <c r="F222" t="s">
        <v>90</v>
      </c>
      <c r="G222" t="s">
        <v>66</v>
      </c>
      <c r="H222" t="s">
        <v>66</v>
      </c>
      <c r="I222">
        <v>1</v>
      </c>
      <c r="J222" t="s">
        <v>67</v>
      </c>
      <c r="K222" t="s">
        <v>68</v>
      </c>
      <c r="L222" t="s">
        <v>69</v>
      </c>
      <c r="P222" t="s">
        <v>67</v>
      </c>
      <c r="Q222" t="s">
        <v>70</v>
      </c>
      <c r="R222" t="s">
        <v>92</v>
      </c>
      <c r="S222" t="s">
        <v>95</v>
      </c>
      <c r="T222" t="s">
        <v>99</v>
      </c>
      <c r="V222" t="s">
        <v>96</v>
      </c>
      <c r="W222" t="s">
        <v>76</v>
      </c>
      <c r="Y222" t="s">
        <v>108</v>
      </c>
      <c r="Z222" t="str">
        <f>_xlfn.TEXTJOIN(",",TRUE,Table1[[#This Row],[Col5]],Table1[[#This Row],[Col4]],Table1[[#This Row],[Col3]],Table1[[#This Row],[Col2]],Table1[[#This Row],[Col1]])</f>
        <v xml:space="preserve"> Medicines, Daily Essentials,Snacks and Beverages</v>
      </c>
      <c r="AA222" t="s">
        <v>81</v>
      </c>
      <c r="AB222" t="s">
        <v>81</v>
      </c>
      <c r="AC222" t="s">
        <v>80</v>
      </c>
      <c r="AD222" t="s">
        <v>80</v>
      </c>
      <c r="AE222" t="s">
        <v>80</v>
      </c>
      <c r="AF222" t="s">
        <v>80</v>
      </c>
      <c r="AG222" t="s">
        <v>80</v>
      </c>
      <c r="AH222" t="s">
        <v>80</v>
      </c>
      <c r="AI222" t="s">
        <v>80</v>
      </c>
      <c r="AJ222" t="s">
        <v>80</v>
      </c>
      <c r="AK222">
        <v>4</v>
      </c>
      <c r="AL222">
        <v>4</v>
      </c>
      <c r="AM222">
        <v>4</v>
      </c>
      <c r="AN222" t="s">
        <v>133</v>
      </c>
    </row>
    <row r="223" spans="1:40" x14ac:dyDescent="0.35">
      <c r="A223">
        <v>46</v>
      </c>
      <c r="B223" t="str" cm="1">
        <f t="array" ref="B223">_xlfn.IFS(A223&lt;=25,"18-25",A223&lt;=33,"26-33",A223&lt;=41,"34-41",A223&lt;=49,"42-49",A223&gt;49,"50 or above")</f>
        <v>42-49</v>
      </c>
      <c r="C223" t="s">
        <v>62</v>
      </c>
      <c r="D223" t="s">
        <v>105</v>
      </c>
      <c r="E223" t="s">
        <v>109</v>
      </c>
      <c r="F223" t="s">
        <v>87</v>
      </c>
      <c r="G223" t="s">
        <v>66</v>
      </c>
      <c r="H223" t="s">
        <v>66</v>
      </c>
      <c r="I223">
        <v>1</v>
      </c>
      <c r="J223" t="s">
        <v>67</v>
      </c>
      <c r="L223" t="s">
        <v>69</v>
      </c>
      <c r="P223" t="s">
        <v>91</v>
      </c>
      <c r="Q223" t="s">
        <v>103</v>
      </c>
      <c r="R223" t="s">
        <v>94</v>
      </c>
      <c r="S223" t="s">
        <v>72</v>
      </c>
      <c r="T223" t="s">
        <v>112</v>
      </c>
      <c r="Y223" t="s">
        <v>135</v>
      </c>
      <c r="Z223" t="str">
        <f>_xlfn.TEXTJOIN(",",TRUE,Table1[[#This Row],[Col5]],Table1[[#This Row],[Col4]],Table1[[#This Row],[Col3]],Table1[[#This Row],[Col2]],Table1[[#This Row],[Col1]])</f>
        <v>Medicines</v>
      </c>
      <c r="AA223" t="s">
        <v>79</v>
      </c>
      <c r="AB223" t="s">
        <v>79</v>
      </c>
      <c r="AC223" t="s">
        <v>79</v>
      </c>
      <c r="AD223" t="s">
        <v>79</v>
      </c>
      <c r="AE223" t="s">
        <v>79</v>
      </c>
      <c r="AF223" t="s">
        <v>81</v>
      </c>
      <c r="AG223" t="s">
        <v>78</v>
      </c>
      <c r="AH223" t="s">
        <v>81</v>
      </c>
      <c r="AI223" t="s">
        <v>81</v>
      </c>
      <c r="AJ223" t="s">
        <v>81</v>
      </c>
      <c r="AK223">
        <v>3</v>
      </c>
      <c r="AL223">
        <v>3</v>
      </c>
      <c r="AM223">
        <v>3</v>
      </c>
      <c r="AN223" t="s">
        <v>115</v>
      </c>
    </row>
    <row r="224" spans="1:40" x14ac:dyDescent="0.35">
      <c r="A224">
        <v>37</v>
      </c>
      <c r="B224" t="str" cm="1">
        <f t="array" ref="B224">_xlfn.IFS(A224&lt;=25,"18-25",A224&lt;=33,"26-33",A224&lt;=41,"34-41",A224&lt;=49,"42-49",A224&gt;49,"50 or above")</f>
        <v>34-41</v>
      </c>
      <c r="C224" t="s">
        <v>89</v>
      </c>
      <c r="D224" t="s">
        <v>116</v>
      </c>
      <c r="E224" t="s">
        <v>121</v>
      </c>
      <c r="F224" t="s">
        <v>127</v>
      </c>
      <c r="G224" t="s">
        <v>66</v>
      </c>
      <c r="H224" t="s">
        <v>66</v>
      </c>
      <c r="I224">
        <v>1</v>
      </c>
      <c r="J224" t="s">
        <v>67</v>
      </c>
      <c r="K224" t="s">
        <v>68</v>
      </c>
      <c r="L224" t="s">
        <v>69</v>
      </c>
      <c r="P224" t="s">
        <v>91</v>
      </c>
      <c r="Q224" t="s">
        <v>98</v>
      </c>
      <c r="R224" t="s">
        <v>94</v>
      </c>
      <c r="S224" t="s">
        <v>95</v>
      </c>
      <c r="T224" t="s">
        <v>99</v>
      </c>
      <c r="W224" t="s">
        <v>134</v>
      </c>
      <c r="Z224" t="str">
        <f>_xlfn.TEXTJOIN(",",TRUE,Table1[[#This Row],[Col5]],Table1[[#This Row],[Col4]],Table1[[#This Row],[Col3]],Table1[[#This Row],[Col2]],Table1[[#This Row],[Col1]])</f>
        <v>Daily Essentials</v>
      </c>
      <c r="AA224" t="s">
        <v>81</v>
      </c>
      <c r="AB224" t="s">
        <v>78</v>
      </c>
      <c r="AC224" t="s">
        <v>78</v>
      </c>
      <c r="AD224" t="s">
        <v>78</v>
      </c>
      <c r="AE224" t="s">
        <v>78</v>
      </c>
      <c r="AF224" t="s">
        <v>80</v>
      </c>
      <c r="AG224" t="s">
        <v>81</v>
      </c>
      <c r="AH224" t="s">
        <v>80</v>
      </c>
      <c r="AI224" t="s">
        <v>81</v>
      </c>
      <c r="AJ224" t="s">
        <v>81</v>
      </c>
      <c r="AK224">
        <v>4</v>
      </c>
      <c r="AL224">
        <v>4</v>
      </c>
      <c r="AM224">
        <v>4</v>
      </c>
      <c r="AN224" t="s">
        <v>128</v>
      </c>
    </row>
    <row r="225" spans="1:40" x14ac:dyDescent="0.35">
      <c r="A225">
        <v>32</v>
      </c>
      <c r="B225" t="str" cm="1">
        <f t="array" ref="B225">_xlfn.IFS(A225&lt;=25,"18-25",A225&lt;=33,"26-33",A225&lt;=41,"34-41",A225&lt;=49,"42-49",A225&gt;49,"50 or above")</f>
        <v>26-33</v>
      </c>
      <c r="C225" t="s">
        <v>62</v>
      </c>
      <c r="D225" t="s">
        <v>119</v>
      </c>
      <c r="E225" t="s">
        <v>86</v>
      </c>
      <c r="F225" t="s">
        <v>90</v>
      </c>
      <c r="G225" t="s">
        <v>66</v>
      </c>
      <c r="H225" t="s">
        <v>66</v>
      </c>
      <c r="I225">
        <v>1</v>
      </c>
      <c r="J225" t="s">
        <v>67</v>
      </c>
      <c r="K225" t="s">
        <v>68</v>
      </c>
      <c r="L225" t="s">
        <v>69</v>
      </c>
      <c r="P225" t="s">
        <v>91</v>
      </c>
      <c r="Q225" t="s">
        <v>70</v>
      </c>
      <c r="R225" t="s">
        <v>71</v>
      </c>
      <c r="S225" t="s">
        <v>95</v>
      </c>
      <c r="T225" t="s">
        <v>140</v>
      </c>
      <c r="U225" t="s">
        <v>74</v>
      </c>
      <c r="W225" t="s">
        <v>76</v>
      </c>
      <c r="Z225" t="str">
        <f>_xlfn.TEXTJOIN(",",TRUE,Table1[[#This Row],[Col5]],Table1[[#This Row],[Col4]],Table1[[#This Row],[Col3]],Table1[[#This Row],[Col2]],Table1[[#This Row],[Col1]])</f>
        <v xml:space="preserve"> Daily Essentials,Groceries</v>
      </c>
      <c r="AA225" t="s">
        <v>81</v>
      </c>
      <c r="AB225" t="s">
        <v>81</v>
      </c>
      <c r="AC225" t="s">
        <v>78</v>
      </c>
      <c r="AD225" t="s">
        <v>80</v>
      </c>
      <c r="AE225" t="s">
        <v>78</v>
      </c>
      <c r="AF225" t="s">
        <v>81</v>
      </c>
      <c r="AG225" t="s">
        <v>81</v>
      </c>
      <c r="AH225" t="s">
        <v>80</v>
      </c>
      <c r="AI225" t="s">
        <v>79</v>
      </c>
      <c r="AJ225" t="s">
        <v>80</v>
      </c>
      <c r="AK225">
        <v>3</v>
      </c>
      <c r="AL225">
        <v>3</v>
      </c>
      <c r="AM225">
        <v>3</v>
      </c>
      <c r="AN225" t="s">
        <v>148</v>
      </c>
    </row>
    <row r="226" spans="1:40" x14ac:dyDescent="0.35">
      <c r="A226">
        <v>37</v>
      </c>
      <c r="B226" t="str" cm="1">
        <f t="array" ref="B226">_xlfn.IFS(A226&lt;=25,"18-25",A226&lt;=33,"26-33",A226&lt;=41,"34-41",A226&lt;=49,"42-49",A226&gt;49,"50 or above")</f>
        <v>34-41</v>
      </c>
      <c r="C226" t="s">
        <v>89</v>
      </c>
      <c r="D226" t="s">
        <v>63</v>
      </c>
      <c r="E226" t="s">
        <v>86</v>
      </c>
      <c r="F226" t="s">
        <v>87</v>
      </c>
      <c r="G226" t="s">
        <v>66</v>
      </c>
      <c r="H226" t="s">
        <v>66</v>
      </c>
      <c r="I226">
        <v>1</v>
      </c>
      <c r="J226" t="s">
        <v>67</v>
      </c>
      <c r="K226" t="s">
        <v>68</v>
      </c>
      <c r="L226" t="s">
        <v>69</v>
      </c>
      <c r="P226" t="s">
        <v>91</v>
      </c>
      <c r="Q226" t="s">
        <v>98</v>
      </c>
      <c r="R226" t="s">
        <v>71</v>
      </c>
      <c r="S226" t="s">
        <v>72</v>
      </c>
      <c r="T226" t="s">
        <v>73</v>
      </c>
      <c r="U226" t="s">
        <v>74</v>
      </c>
      <c r="V226" t="s">
        <v>75</v>
      </c>
      <c r="W226" t="s">
        <v>76</v>
      </c>
      <c r="X226" t="s">
        <v>77</v>
      </c>
      <c r="Y226" t="s">
        <v>108</v>
      </c>
      <c r="Z226" t="str">
        <f>_xlfn.TEXTJOIN(",",TRUE,Table1[[#This Row],[Col5]],Table1[[#This Row],[Col4]],Table1[[#This Row],[Col3]],Table1[[#This Row],[Col2]],Table1[[#This Row],[Col1]])</f>
        <v xml:space="preserve"> Medicines, Personal Care, Daily Essentials, Snacks and Beverages,Groceries</v>
      </c>
      <c r="AA226" t="s">
        <v>78</v>
      </c>
      <c r="AB226" t="s">
        <v>80</v>
      </c>
      <c r="AC226" t="s">
        <v>80</v>
      </c>
      <c r="AD226" t="s">
        <v>78</v>
      </c>
      <c r="AE226" t="s">
        <v>78</v>
      </c>
      <c r="AF226" t="s">
        <v>80</v>
      </c>
      <c r="AG226" t="s">
        <v>80</v>
      </c>
      <c r="AH226" t="s">
        <v>81</v>
      </c>
      <c r="AI226" t="s">
        <v>78</v>
      </c>
      <c r="AJ226" t="s">
        <v>81</v>
      </c>
      <c r="AK226">
        <v>4</v>
      </c>
      <c r="AL226">
        <v>3</v>
      </c>
      <c r="AM226">
        <v>4</v>
      </c>
      <c r="AN226" t="s">
        <v>148</v>
      </c>
    </row>
    <row r="227" spans="1:40" x14ac:dyDescent="0.35">
      <c r="A227">
        <v>33</v>
      </c>
      <c r="B227" t="str" cm="1">
        <f t="array" ref="B227">_xlfn.IFS(A227&lt;=25,"18-25",A227&lt;=33,"26-33",A227&lt;=41,"34-41",A227&lt;=49,"42-49",A227&gt;49,"50 or above")</f>
        <v>26-33</v>
      </c>
      <c r="C227" t="s">
        <v>62</v>
      </c>
      <c r="D227" t="s">
        <v>105</v>
      </c>
      <c r="E227" t="s">
        <v>109</v>
      </c>
      <c r="F227" t="s">
        <v>87</v>
      </c>
      <c r="G227" t="s">
        <v>66</v>
      </c>
      <c r="H227" t="s">
        <v>66</v>
      </c>
      <c r="I227">
        <v>1</v>
      </c>
      <c r="J227" t="s">
        <v>67</v>
      </c>
      <c r="K227" t="s">
        <v>68</v>
      </c>
      <c r="L227" t="s">
        <v>69</v>
      </c>
      <c r="P227" t="s">
        <v>93</v>
      </c>
      <c r="Q227" t="s">
        <v>117</v>
      </c>
      <c r="R227" t="s">
        <v>71</v>
      </c>
      <c r="S227" t="s">
        <v>72</v>
      </c>
      <c r="T227" t="s">
        <v>140</v>
      </c>
      <c r="X227" t="s">
        <v>131</v>
      </c>
      <c r="Z227" t="str">
        <f>_xlfn.TEXTJOIN(",",TRUE,Table1[[#This Row],[Col5]],Table1[[#This Row],[Col4]],Table1[[#This Row],[Col3]],Table1[[#This Row],[Col2]],Table1[[#This Row],[Col1]])</f>
        <v>Personal Care</v>
      </c>
      <c r="AA227" t="s">
        <v>80</v>
      </c>
      <c r="AB227" t="s">
        <v>81</v>
      </c>
      <c r="AC227" t="s">
        <v>80</v>
      </c>
      <c r="AD227" t="s">
        <v>81</v>
      </c>
      <c r="AE227" t="s">
        <v>78</v>
      </c>
      <c r="AF227" t="s">
        <v>81</v>
      </c>
      <c r="AG227" t="s">
        <v>80</v>
      </c>
      <c r="AH227" t="s">
        <v>80</v>
      </c>
      <c r="AI227" t="s">
        <v>78</v>
      </c>
      <c r="AJ227" t="s">
        <v>81</v>
      </c>
      <c r="AK227">
        <v>3</v>
      </c>
      <c r="AL227">
        <v>4</v>
      </c>
      <c r="AM227">
        <v>3</v>
      </c>
      <c r="AN227" t="s">
        <v>148</v>
      </c>
    </row>
    <row r="228" spans="1:40" x14ac:dyDescent="0.35">
      <c r="A228">
        <v>44</v>
      </c>
      <c r="B228" t="str" cm="1">
        <f t="array" ref="B228">_xlfn.IFS(A228&lt;=25,"18-25",A228&lt;=33,"26-33",A228&lt;=41,"34-41",A228&lt;=49,"42-49",A228&gt;49,"50 or above")</f>
        <v>42-49</v>
      </c>
      <c r="C228" t="s">
        <v>89</v>
      </c>
      <c r="D228" t="s">
        <v>105</v>
      </c>
      <c r="E228" t="s">
        <v>86</v>
      </c>
      <c r="F228" t="s">
        <v>87</v>
      </c>
      <c r="G228" t="s">
        <v>66</v>
      </c>
      <c r="H228" t="s">
        <v>66</v>
      </c>
      <c r="I228">
        <v>1</v>
      </c>
      <c r="J228" t="s">
        <v>67</v>
      </c>
      <c r="L228" t="s">
        <v>69</v>
      </c>
      <c r="P228" t="s">
        <v>67</v>
      </c>
      <c r="Q228" t="s">
        <v>98</v>
      </c>
      <c r="R228" t="s">
        <v>92</v>
      </c>
      <c r="S228" t="s">
        <v>113</v>
      </c>
      <c r="T228" t="s">
        <v>140</v>
      </c>
      <c r="U228" t="s">
        <v>74</v>
      </c>
      <c r="V228" t="s">
        <v>75</v>
      </c>
      <c r="X228" t="s">
        <v>77</v>
      </c>
      <c r="Z228" t="str">
        <f>_xlfn.TEXTJOIN(",",TRUE,Table1[[#This Row],[Col5]],Table1[[#This Row],[Col4]],Table1[[#This Row],[Col3]],Table1[[#This Row],[Col2]],Table1[[#This Row],[Col1]])</f>
        <v xml:space="preserve"> Personal Care, Snacks and Beverages,Groceries</v>
      </c>
      <c r="AA228" t="s">
        <v>81</v>
      </c>
      <c r="AB228" t="s">
        <v>80</v>
      </c>
      <c r="AC228" t="s">
        <v>80</v>
      </c>
      <c r="AD228" t="s">
        <v>81</v>
      </c>
      <c r="AE228" t="s">
        <v>80</v>
      </c>
      <c r="AF228" t="s">
        <v>80</v>
      </c>
      <c r="AG228" t="s">
        <v>81</v>
      </c>
      <c r="AH228" t="s">
        <v>80</v>
      </c>
      <c r="AI228" t="s">
        <v>81</v>
      </c>
      <c r="AJ228" t="s">
        <v>80</v>
      </c>
      <c r="AK228">
        <v>3</v>
      </c>
      <c r="AL228">
        <v>3</v>
      </c>
      <c r="AM228">
        <v>3</v>
      </c>
      <c r="AN228" t="s">
        <v>133</v>
      </c>
    </row>
    <row r="229" spans="1:40" x14ac:dyDescent="0.35">
      <c r="A229">
        <v>32</v>
      </c>
      <c r="B229" t="str" cm="1">
        <f t="array" ref="B229">_xlfn.IFS(A229&lt;=25,"18-25",A229&lt;=33,"26-33",A229&lt;=41,"34-41",A229&lt;=49,"42-49",A229&gt;49,"50 or above")</f>
        <v>26-33</v>
      </c>
      <c r="C229" t="s">
        <v>62</v>
      </c>
      <c r="D229" t="s">
        <v>105</v>
      </c>
      <c r="E229" t="s">
        <v>109</v>
      </c>
      <c r="F229" t="s">
        <v>87</v>
      </c>
      <c r="G229" t="s">
        <v>66</v>
      </c>
      <c r="H229" t="s">
        <v>66</v>
      </c>
      <c r="I229">
        <v>1</v>
      </c>
      <c r="J229" t="s">
        <v>67</v>
      </c>
      <c r="L229" t="s">
        <v>69</v>
      </c>
      <c r="P229" t="s">
        <v>67</v>
      </c>
      <c r="Q229" t="s">
        <v>98</v>
      </c>
      <c r="R229" t="s">
        <v>92</v>
      </c>
      <c r="S229" t="s">
        <v>113</v>
      </c>
      <c r="T229" t="s">
        <v>73</v>
      </c>
      <c r="W229" t="s">
        <v>134</v>
      </c>
      <c r="Z229" t="str">
        <f>_xlfn.TEXTJOIN(",",TRUE,Table1[[#This Row],[Col5]],Table1[[#This Row],[Col4]],Table1[[#This Row],[Col3]],Table1[[#This Row],[Col2]],Table1[[#This Row],[Col1]])</f>
        <v>Daily Essentials</v>
      </c>
      <c r="AA229" t="s">
        <v>80</v>
      </c>
      <c r="AB229" t="s">
        <v>80</v>
      </c>
      <c r="AC229" t="s">
        <v>78</v>
      </c>
      <c r="AD229" t="s">
        <v>81</v>
      </c>
      <c r="AE229" t="s">
        <v>78</v>
      </c>
      <c r="AF229" t="s">
        <v>81</v>
      </c>
      <c r="AG229" t="s">
        <v>78</v>
      </c>
      <c r="AH229" t="s">
        <v>80</v>
      </c>
      <c r="AI229" t="s">
        <v>80</v>
      </c>
      <c r="AJ229" t="s">
        <v>78</v>
      </c>
      <c r="AK229">
        <v>3</v>
      </c>
      <c r="AL229">
        <v>4</v>
      </c>
      <c r="AM229">
        <v>4</v>
      </c>
      <c r="AN229" t="s">
        <v>97</v>
      </c>
    </row>
    <row r="230" spans="1:40" x14ac:dyDescent="0.35">
      <c r="A230">
        <v>26</v>
      </c>
      <c r="B230" t="str" cm="1">
        <f t="array" ref="B230">_xlfn.IFS(A230&lt;=25,"18-25",A230&lt;=33,"26-33",A230&lt;=41,"34-41",A230&lt;=49,"42-49",A230&gt;49,"50 or above")</f>
        <v>26-33</v>
      </c>
      <c r="C230" t="s">
        <v>89</v>
      </c>
      <c r="D230" t="s">
        <v>63</v>
      </c>
      <c r="E230" t="s">
        <v>121</v>
      </c>
      <c r="F230" t="s">
        <v>90</v>
      </c>
      <c r="G230" t="s">
        <v>66</v>
      </c>
      <c r="H230" t="s">
        <v>66</v>
      </c>
      <c r="I230">
        <v>1</v>
      </c>
      <c r="J230" t="s">
        <v>67</v>
      </c>
      <c r="L230" t="s">
        <v>69</v>
      </c>
      <c r="P230" t="s">
        <v>67</v>
      </c>
      <c r="Q230" t="s">
        <v>103</v>
      </c>
      <c r="R230" t="s">
        <v>71</v>
      </c>
      <c r="S230" t="s">
        <v>72</v>
      </c>
      <c r="T230" t="s">
        <v>112</v>
      </c>
      <c r="W230" t="s">
        <v>134</v>
      </c>
      <c r="X230" t="s">
        <v>77</v>
      </c>
      <c r="Z230" t="str">
        <f>_xlfn.TEXTJOIN(",",TRUE,Table1[[#This Row],[Col5]],Table1[[#This Row],[Col4]],Table1[[#This Row],[Col3]],Table1[[#This Row],[Col2]],Table1[[#This Row],[Col1]])</f>
        <v xml:space="preserve"> Personal Care,Daily Essentials</v>
      </c>
      <c r="AA230" t="s">
        <v>80</v>
      </c>
      <c r="AB230" t="s">
        <v>81</v>
      </c>
      <c r="AC230" t="s">
        <v>78</v>
      </c>
      <c r="AD230" t="s">
        <v>80</v>
      </c>
      <c r="AE230" t="s">
        <v>78</v>
      </c>
      <c r="AF230" t="s">
        <v>81</v>
      </c>
      <c r="AG230" t="s">
        <v>80</v>
      </c>
      <c r="AH230" t="s">
        <v>81</v>
      </c>
      <c r="AI230" t="s">
        <v>78</v>
      </c>
      <c r="AJ230" t="s">
        <v>80</v>
      </c>
      <c r="AK230">
        <v>3</v>
      </c>
      <c r="AL230">
        <v>2</v>
      </c>
      <c r="AM230">
        <v>3</v>
      </c>
      <c r="AN230" t="s">
        <v>128</v>
      </c>
    </row>
    <row r="231" spans="1:40" x14ac:dyDescent="0.35">
      <c r="A231">
        <v>27</v>
      </c>
      <c r="B231" t="str" cm="1">
        <f t="array" ref="B231">_xlfn.IFS(A231&lt;=25,"18-25",A231&lt;=33,"26-33",A231&lt;=41,"34-41",A231&lt;=49,"42-49",A231&gt;49,"50 or above")</f>
        <v>26-33</v>
      </c>
      <c r="C231" t="s">
        <v>62</v>
      </c>
      <c r="D231" t="s">
        <v>116</v>
      </c>
      <c r="E231" t="s">
        <v>109</v>
      </c>
      <c r="F231" t="s">
        <v>65</v>
      </c>
      <c r="G231" t="s">
        <v>66</v>
      </c>
      <c r="H231" t="s">
        <v>66</v>
      </c>
      <c r="I231">
        <v>1</v>
      </c>
      <c r="J231" t="s">
        <v>67</v>
      </c>
      <c r="K231" t="s">
        <v>68</v>
      </c>
      <c r="L231" t="s">
        <v>69</v>
      </c>
      <c r="P231" t="s">
        <v>67</v>
      </c>
      <c r="Q231" t="s">
        <v>103</v>
      </c>
      <c r="R231" t="s">
        <v>110</v>
      </c>
      <c r="S231" t="s">
        <v>95</v>
      </c>
      <c r="T231" t="s">
        <v>140</v>
      </c>
      <c r="U231" t="s">
        <v>74</v>
      </c>
      <c r="V231" t="s">
        <v>75</v>
      </c>
      <c r="W231" t="s">
        <v>76</v>
      </c>
      <c r="X231" t="s">
        <v>77</v>
      </c>
      <c r="Y231" t="s">
        <v>108</v>
      </c>
      <c r="Z231" t="str">
        <f>_xlfn.TEXTJOIN(",",TRUE,Table1[[#This Row],[Col5]],Table1[[#This Row],[Col4]],Table1[[#This Row],[Col3]],Table1[[#This Row],[Col2]],Table1[[#This Row],[Col1]])</f>
        <v xml:space="preserve"> Medicines, Personal Care, Daily Essentials, Snacks and Beverages,Groceries</v>
      </c>
      <c r="AA231" t="s">
        <v>78</v>
      </c>
      <c r="AB231" t="s">
        <v>78</v>
      </c>
      <c r="AC231" t="s">
        <v>80</v>
      </c>
      <c r="AD231" t="s">
        <v>78</v>
      </c>
      <c r="AE231" t="s">
        <v>78</v>
      </c>
      <c r="AF231" t="s">
        <v>80</v>
      </c>
      <c r="AG231" t="s">
        <v>78</v>
      </c>
      <c r="AH231" t="s">
        <v>80</v>
      </c>
      <c r="AI231" t="s">
        <v>78</v>
      </c>
      <c r="AJ231" t="s">
        <v>80</v>
      </c>
      <c r="AK231">
        <v>5</v>
      </c>
      <c r="AL231">
        <v>5</v>
      </c>
      <c r="AM231">
        <v>5</v>
      </c>
      <c r="AN231" t="s">
        <v>133</v>
      </c>
    </row>
    <row r="232" spans="1:40" x14ac:dyDescent="0.35">
      <c r="A232">
        <v>30</v>
      </c>
      <c r="B232" t="str" cm="1">
        <f t="array" ref="B232">_xlfn.IFS(A232&lt;=25,"18-25",A232&lt;=33,"26-33",A232&lt;=41,"34-41",A232&lt;=49,"42-49",A232&gt;49,"50 or above")</f>
        <v>26-33</v>
      </c>
      <c r="C232" t="s">
        <v>89</v>
      </c>
      <c r="D232" t="s">
        <v>119</v>
      </c>
      <c r="E232" t="s">
        <v>121</v>
      </c>
      <c r="F232" t="s">
        <v>87</v>
      </c>
      <c r="G232" t="s">
        <v>66</v>
      </c>
      <c r="H232" t="s">
        <v>66</v>
      </c>
      <c r="I232">
        <v>1</v>
      </c>
      <c r="J232" t="s">
        <v>67</v>
      </c>
      <c r="K232" t="s">
        <v>68</v>
      </c>
      <c r="L232" t="s">
        <v>69</v>
      </c>
      <c r="P232" t="s">
        <v>67</v>
      </c>
      <c r="Q232" t="s">
        <v>103</v>
      </c>
      <c r="R232" t="s">
        <v>92</v>
      </c>
      <c r="S232" t="s">
        <v>95</v>
      </c>
      <c r="T232" t="s">
        <v>112</v>
      </c>
      <c r="U232" t="s">
        <v>74</v>
      </c>
      <c r="V232" t="s">
        <v>75</v>
      </c>
      <c r="W232" t="s">
        <v>76</v>
      </c>
      <c r="X232" t="s">
        <v>77</v>
      </c>
      <c r="Y232" t="s">
        <v>108</v>
      </c>
      <c r="Z232" t="str">
        <f>_xlfn.TEXTJOIN(",",TRUE,Table1[[#This Row],[Col5]],Table1[[#This Row],[Col4]],Table1[[#This Row],[Col3]],Table1[[#This Row],[Col2]],Table1[[#This Row],[Col1]])</f>
        <v xml:space="preserve"> Medicines, Personal Care, Daily Essentials, Snacks and Beverages,Groceries</v>
      </c>
      <c r="AA232" t="s">
        <v>81</v>
      </c>
      <c r="AB232" t="s">
        <v>81</v>
      </c>
      <c r="AC232" t="s">
        <v>79</v>
      </c>
      <c r="AD232" t="s">
        <v>80</v>
      </c>
      <c r="AE232" t="s">
        <v>79</v>
      </c>
      <c r="AF232" t="s">
        <v>81</v>
      </c>
      <c r="AG232" t="s">
        <v>80</v>
      </c>
      <c r="AH232" t="s">
        <v>81</v>
      </c>
      <c r="AI232" t="s">
        <v>80</v>
      </c>
      <c r="AJ232" t="s">
        <v>80</v>
      </c>
      <c r="AK232">
        <v>4</v>
      </c>
      <c r="AL232">
        <v>3</v>
      </c>
      <c r="AM232">
        <v>2</v>
      </c>
      <c r="AN232" t="s">
        <v>128</v>
      </c>
    </row>
    <row r="233" spans="1:40" x14ac:dyDescent="0.35">
      <c r="A233">
        <v>44</v>
      </c>
      <c r="B233" t="str" cm="1">
        <f t="array" ref="B233">_xlfn.IFS(A233&lt;=25,"18-25",A233&lt;=33,"26-33",A233&lt;=41,"34-41",A233&lt;=49,"42-49",A233&gt;49,"50 or above")</f>
        <v>42-49</v>
      </c>
      <c r="C233" t="s">
        <v>89</v>
      </c>
      <c r="D233" t="s">
        <v>63</v>
      </c>
      <c r="E233" t="s">
        <v>86</v>
      </c>
      <c r="F233" t="s">
        <v>90</v>
      </c>
      <c r="G233" t="s">
        <v>66</v>
      </c>
      <c r="H233" t="s">
        <v>66</v>
      </c>
      <c r="I233">
        <v>1</v>
      </c>
      <c r="J233" t="s">
        <v>67</v>
      </c>
      <c r="K233" t="s">
        <v>68</v>
      </c>
      <c r="L233" t="s">
        <v>69</v>
      </c>
      <c r="P233" t="s">
        <v>67</v>
      </c>
      <c r="Q233" t="s">
        <v>70</v>
      </c>
      <c r="R233" t="s">
        <v>92</v>
      </c>
      <c r="S233" t="s">
        <v>72</v>
      </c>
      <c r="T233" t="s">
        <v>99</v>
      </c>
      <c r="Y233" t="s">
        <v>135</v>
      </c>
      <c r="Z233" t="str">
        <f>_xlfn.TEXTJOIN(",",TRUE,Table1[[#This Row],[Col5]],Table1[[#This Row],[Col4]],Table1[[#This Row],[Col3]],Table1[[#This Row],[Col2]],Table1[[#This Row],[Col1]])</f>
        <v>Medicines</v>
      </c>
      <c r="AA233" t="s">
        <v>81</v>
      </c>
      <c r="AB233" t="s">
        <v>81</v>
      </c>
      <c r="AC233" t="s">
        <v>80</v>
      </c>
      <c r="AD233" t="s">
        <v>80</v>
      </c>
      <c r="AE233" t="s">
        <v>80</v>
      </c>
      <c r="AF233" t="s">
        <v>80</v>
      </c>
      <c r="AG233" t="s">
        <v>81</v>
      </c>
      <c r="AH233" t="s">
        <v>79</v>
      </c>
      <c r="AI233" t="s">
        <v>81</v>
      </c>
      <c r="AJ233" t="s">
        <v>80</v>
      </c>
      <c r="AK233">
        <v>3</v>
      </c>
      <c r="AL233">
        <v>3</v>
      </c>
      <c r="AM233">
        <v>3</v>
      </c>
      <c r="AN233" t="s">
        <v>133</v>
      </c>
    </row>
    <row r="234" spans="1:40" x14ac:dyDescent="0.35">
      <c r="A234">
        <v>36</v>
      </c>
      <c r="B234" t="str" cm="1">
        <f t="array" ref="B234">_xlfn.IFS(A234&lt;=25,"18-25",A234&lt;=33,"26-33",A234&lt;=41,"34-41",A234&lt;=49,"42-49",A234&gt;49,"50 or above")</f>
        <v>34-41</v>
      </c>
      <c r="C234" t="s">
        <v>89</v>
      </c>
      <c r="D234" t="s">
        <v>116</v>
      </c>
      <c r="E234" t="s">
        <v>86</v>
      </c>
      <c r="F234" t="s">
        <v>65</v>
      </c>
      <c r="G234" t="s">
        <v>66</v>
      </c>
      <c r="H234" t="s">
        <v>66</v>
      </c>
      <c r="I234">
        <v>1</v>
      </c>
      <c r="J234" t="s">
        <v>67</v>
      </c>
      <c r="K234" t="s">
        <v>68</v>
      </c>
      <c r="L234" t="s">
        <v>69</v>
      </c>
      <c r="M234" t="s">
        <v>114</v>
      </c>
      <c r="P234" t="s">
        <v>93</v>
      </c>
      <c r="Q234" t="s">
        <v>98</v>
      </c>
      <c r="R234" t="s">
        <v>71</v>
      </c>
      <c r="S234" t="s">
        <v>95</v>
      </c>
      <c r="T234" t="s">
        <v>140</v>
      </c>
      <c r="U234" t="s">
        <v>74</v>
      </c>
      <c r="V234" t="s">
        <v>75</v>
      </c>
      <c r="W234" t="s">
        <v>76</v>
      </c>
      <c r="X234" t="s">
        <v>77</v>
      </c>
      <c r="Z234" t="str">
        <f>_xlfn.TEXTJOIN(",",TRUE,Table1[[#This Row],[Col5]],Table1[[#This Row],[Col4]],Table1[[#This Row],[Col3]],Table1[[#This Row],[Col2]],Table1[[#This Row],[Col1]])</f>
        <v xml:space="preserve"> Personal Care, Daily Essentials, Snacks and Beverages,Groceries</v>
      </c>
      <c r="AA234" t="s">
        <v>78</v>
      </c>
      <c r="AB234" t="s">
        <v>78</v>
      </c>
      <c r="AC234" t="s">
        <v>79</v>
      </c>
      <c r="AD234" t="s">
        <v>80</v>
      </c>
      <c r="AE234" t="s">
        <v>81</v>
      </c>
      <c r="AF234" t="s">
        <v>80</v>
      </c>
      <c r="AG234" t="s">
        <v>80</v>
      </c>
      <c r="AH234" t="s">
        <v>81</v>
      </c>
      <c r="AI234" t="s">
        <v>78</v>
      </c>
      <c r="AJ234" t="s">
        <v>78</v>
      </c>
      <c r="AK234">
        <v>4</v>
      </c>
      <c r="AL234">
        <v>5</v>
      </c>
      <c r="AM234">
        <v>5</v>
      </c>
      <c r="AN234" t="s">
        <v>82</v>
      </c>
    </row>
    <row r="235" spans="1:40" x14ac:dyDescent="0.35">
      <c r="A235">
        <v>35</v>
      </c>
      <c r="B235" t="str" cm="1">
        <f t="array" ref="B235">_xlfn.IFS(A235&lt;=25,"18-25",A235&lt;=33,"26-33",A235&lt;=41,"34-41",A235&lt;=49,"42-49",A235&gt;49,"50 or above")</f>
        <v>34-41</v>
      </c>
      <c r="C235" t="s">
        <v>62</v>
      </c>
      <c r="D235" t="s">
        <v>63</v>
      </c>
      <c r="E235" t="s">
        <v>109</v>
      </c>
      <c r="F235" t="s">
        <v>87</v>
      </c>
      <c r="G235" t="s">
        <v>66</v>
      </c>
      <c r="H235" t="s">
        <v>66</v>
      </c>
      <c r="I235">
        <v>1</v>
      </c>
      <c r="J235" t="s">
        <v>67</v>
      </c>
      <c r="K235" t="s">
        <v>68</v>
      </c>
      <c r="L235" t="s">
        <v>69</v>
      </c>
      <c r="P235" t="s">
        <v>67</v>
      </c>
      <c r="Q235" t="s">
        <v>98</v>
      </c>
      <c r="R235" t="s">
        <v>71</v>
      </c>
      <c r="S235" t="s">
        <v>130</v>
      </c>
      <c r="T235" t="s">
        <v>140</v>
      </c>
      <c r="W235" t="s">
        <v>134</v>
      </c>
      <c r="Z235" t="str">
        <f>_xlfn.TEXTJOIN(",",TRUE,Table1[[#This Row],[Col5]],Table1[[#This Row],[Col4]],Table1[[#This Row],[Col3]],Table1[[#This Row],[Col2]],Table1[[#This Row],[Col1]])</f>
        <v>Daily Essentials</v>
      </c>
      <c r="AA235" t="s">
        <v>81</v>
      </c>
      <c r="AB235" t="s">
        <v>80</v>
      </c>
      <c r="AC235" t="s">
        <v>80</v>
      </c>
      <c r="AD235" t="s">
        <v>78</v>
      </c>
      <c r="AE235" t="s">
        <v>80</v>
      </c>
      <c r="AF235" t="s">
        <v>80</v>
      </c>
      <c r="AG235" t="s">
        <v>78</v>
      </c>
      <c r="AH235" t="s">
        <v>80</v>
      </c>
      <c r="AI235" t="s">
        <v>80</v>
      </c>
      <c r="AJ235" t="s">
        <v>78</v>
      </c>
      <c r="AK235">
        <v>5</v>
      </c>
      <c r="AL235">
        <v>5</v>
      </c>
      <c r="AM235">
        <v>5</v>
      </c>
      <c r="AN235" t="s">
        <v>128</v>
      </c>
    </row>
    <row r="236" spans="1:40" x14ac:dyDescent="0.35">
      <c r="A236">
        <v>47</v>
      </c>
      <c r="B236" t="str" cm="1">
        <f t="array" ref="B236">_xlfn.IFS(A236&lt;=25,"18-25",A236&lt;=33,"26-33",A236&lt;=41,"34-41",A236&lt;=49,"42-49",A236&gt;49,"50 or above")</f>
        <v>42-49</v>
      </c>
      <c r="C236" t="s">
        <v>89</v>
      </c>
      <c r="D236" t="s">
        <v>63</v>
      </c>
      <c r="E236" t="s">
        <v>121</v>
      </c>
      <c r="F236" t="s">
        <v>87</v>
      </c>
      <c r="G236" t="s">
        <v>66</v>
      </c>
      <c r="H236" t="s">
        <v>66</v>
      </c>
      <c r="I236">
        <v>1</v>
      </c>
      <c r="K236" t="s">
        <v>93</v>
      </c>
      <c r="P236" t="s">
        <v>91</v>
      </c>
      <c r="Q236" t="s">
        <v>98</v>
      </c>
      <c r="R236" t="s">
        <v>110</v>
      </c>
      <c r="S236" t="s">
        <v>113</v>
      </c>
      <c r="T236" t="s">
        <v>140</v>
      </c>
      <c r="U236" t="s">
        <v>74</v>
      </c>
      <c r="V236" t="s">
        <v>75</v>
      </c>
      <c r="W236" t="s">
        <v>76</v>
      </c>
      <c r="X236" t="s">
        <v>77</v>
      </c>
      <c r="Y236" t="s">
        <v>108</v>
      </c>
      <c r="Z236" t="str">
        <f>_xlfn.TEXTJOIN(",",TRUE,Table1[[#This Row],[Col5]],Table1[[#This Row],[Col4]],Table1[[#This Row],[Col3]],Table1[[#This Row],[Col2]],Table1[[#This Row],[Col1]])</f>
        <v xml:space="preserve"> Medicines, Personal Care, Daily Essentials, Snacks and Beverages,Groceries</v>
      </c>
      <c r="AA236" t="s">
        <v>80</v>
      </c>
      <c r="AB236" t="s">
        <v>78</v>
      </c>
      <c r="AC236" t="s">
        <v>81</v>
      </c>
      <c r="AD236" t="s">
        <v>78</v>
      </c>
      <c r="AE236" t="s">
        <v>81</v>
      </c>
      <c r="AF236" t="s">
        <v>80</v>
      </c>
      <c r="AG236" t="s">
        <v>79</v>
      </c>
      <c r="AH236" t="s">
        <v>81</v>
      </c>
      <c r="AI236" t="s">
        <v>78</v>
      </c>
      <c r="AJ236" t="s">
        <v>80</v>
      </c>
      <c r="AK236">
        <v>4</v>
      </c>
      <c r="AL236">
        <v>4</v>
      </c>
      <c r="AM236">
        <v>4</v>
      </c>
      <c r="AN236" t="s">
        <v>104</v>
      </c>
    </row>
    <row r="237" spans="1:40" x14ac:dyDescent="0.35">
      <c r="A237">
        <v>32</v>
      </c>
      <c r="B237" t="str" cm="1">
        <f t="array" ref="B237">_xlfn.IFS(A237&lt;=25,"18-25",A237&lt;=33,"26-33",A237&lt;=41,"34-41",A237&lt;=49,"42-49",A237&gt;49,"50 or above")</f>
        <v>26-33</v>
      </c>
      <c r="C237" t="s">
        <v>62</v>
      </c>
      <c r="D237" t="s">
        <v>116</v>
      </c>
      <c r="E237" t="s">
        <v>86</v>
      </c>
      <c r="F237" t="s">
        <v>65</v>
      </c>
      <c r="G237" t="s">
        <v>66</v>
      </c>
      <c r="H237" t="s">
        <v>66</v>
      </c>
      <c r="I237">
        <v>1</v>
      </c>
      <c r="J237" t="s">
        <v>67</v>
      </c>
      <c r="K237" t="s">
        <v>68</v>
      </c>
      <c r="L237" t="s">
        <v>69</v>
      </c>
      <c r="P237" t="s">
        <v>91</v>
      </c>
      <c r="Q237" t="s">
        <v>70</v>
      </c>
      <c r="R237" t="s">
        <v>92</v>
      </c>
      <c r="S237" t="s">
        <v>72</v>
      </c>
      <c r="T237" t="s">
        <v>99</v>
      </c>
      <c r="U237" t="s">
        <v>74</v>
      </c>
      <c r="V237" t="s">
        <v>75</v>
      </c>
      <c r="W237" t="s">
        <v>76</v>
      </c>
      <c r="Z237" t="str">
        <f>_xlfn.TEXTJOIN(",",TRUE,Table1[[#This Row],[Col5]],Table1[[#This Row],[Col4]],Table1[[#This Row],[Col3]],Table1[[#This Row],[Col2]],Table1[[#This Row],[Col1]])</f>
        <v xml:space="preserve"> Daily Essentials, Snacks and Beverages,Groceries</v>
      </c>
      <c r="AA237" t="s">
        <v>78</v>
      </c>
      <c r="AB237" t="s">
        <v>78</v>
      </c>
      <c r="AC237" t="s">
        <v>80</v>
      </c>
      <c r="AD237" t="s">
        <v>81</v>
      </c>
      <c r="AE237" t="s">
        <v>80</v>
      </c>
      <c r="AF237" t="s">
        <v>80</v>
      </c>
      <c r="AG237" t="s">
        <v>80</v>
      </c>
      <c r="AH237" t="s">
        <v>81</v>
      </c>
      <c r="AI237" t="s">
        <v>80</v>
      </c>
      <c r="AJ237" t="s">
        <v>80</v>
      </c>
      <c r="AK237">
        <v>4</v>
      </c>
      <c r="AL237">
        <v>4</v>
      </c>
      <c r="AM237">
        <v>4</v>
      </c>
      <c r="AN237" t="s">
        <v>104</v>
      </c>
    </row>
    <row r="238" spans="1:40" x14ac:dyDescent="0.35">
      <c r="A238">
        <v>27</v>
      </c>
      <c r="B238" t="str" cm="1">
        <f t="array" ref="B238">_xlfn.IFS(A238&lt;=25,"18-25",A238&lt;=33,"26-33",A238&lt;=41,"34-41",A238&lt;=49,"42-49",A238&gt;49,"50 or above")</f>
        <v>26-33</v>
      </c>
      <c r="C238" t="s">
        <v>89</v>
      </c>
      <c r="D238" t="s">
        <v>119</v>
      </c>
      <c r="E238" t="s">
        <v>86</v>
      </c>
      <c r="F238" t="s">
        <v>102</v>
      </c>
      <c r="G238" t="s">
        <v>66</v>
      </c>
      <c r="H238" t="s">
        <v>66</v>
      </c>
      <c r="I238">
        <v>1</v>
      </c>
      <c r="J238" t="s">
        <v>67</v>
      </c>
      <c r="K238" t="s">
        <v>68</v>
      </c>
      <c r="L238" t="s">
        <v>69</v>
      </c>
      <c r="P238" t="s">
        <v>67</v>
      </c>
      <c r="Q238" t="s">
        <v>117</v>
      </c>
      <c r="R238" t="s">
        <v>110</v>
      </c>
      <c r="S238" t="s">
        <v>107</v>
      </c>
      <c r="T238" t="s">
        <v>73</v>
      </c>
      <c r="U238" t="s">
        <v>74</v>
      </c>
      <c r="Z238" t="str">
        <f>_xlfn.TEXTJOIN(",",TRUE,Table1[[#This Row],[Col5]],Table1[[#This Row],[Col4]],Table1[[#This Row],[Col3]],Table1[[#This Row],[Col2]],Table1[[#This Row],[Col1]])</f>
        <v>Groceries</v>
      </c>
      <c r="AA238" t="s">
        <v>80</v>
      </c>
      <c r="AB238" t="s">
        <v>78</v>
      </c>
      <c r="AC238" t="s">
        <v>80</v>
      </c>
      <c r="AD238" t="s">
        <v>78</v>
      </c>
      <c r="AE238" t="s">
        <v>78</v>
      </c>
      <c r="AF238" t="s">
        <v>80</v>
      </c>
      <c r="AG238" t="s">
        <v>78</v>
      </c>
      <c r="AH238" t="s">
        <v>80</v>
      </c>
      <c r="AI238" t="s">
        <v>78</v>
      </c>
      <c r="AJ238" t="s">
        <v>78</v>
      </c>
      <c r="AK238">
        <v>5</v>
      </c>
      <c r="AL238">
        <v>5</v>
      </c>
      <c r="AM238">
        <v>5</v>
      </c>
      <c r="AN238" t="s">
        <v>104</v>
      </c>
    </row>
    <row r="239" spans="1:40" x14ac:dyDescent="0.35">
      <c r="A239">
        <v>26</v>
      </c>
      <c r="B239" t="str" cm="1">
        <f t="array" ref="B239">_xlfn.IFS(A239&lt;=25,"18-25",A239&lt;=33,"26-33",A239&lt;=41,"34-41",A239&lt;=49,"42-49",A239&gt;49,"50 or above")</f>
        <v>26-33</v>
      </c>
      <c r="C239" t="s">
        <v>62</v>
      </c>
      <c r="D239" t="s">
        <v>63</v>
      </c>
      <c r="E239" t="s">
        <v>109</v>
      </c>
      <c r="F239" t="s">
        <v>90</v>
      </c>
      <c r="G239" t="s">
        <v>66</v>
      </c>
      <c r="H239" t="s">
        <v>66</v>
      </c>
      <c r="I239">
        <v>1</v>
      </c>
      <c r="J239" t="s">
        <v>67</v>
      </c>
      <c r="K239" t="s">
        <v>68</v>
      </c>
      <c r="L239" t="s">
        <v>69</v>
      </c>
      <c r="P239" t="s">
        <v>67</v>
      </c>
      <c r="Q239" t="s">
        <v>70</v>
      </c>
      <c r="R239" t="s">
        <v>92</v>
      </c>
      <c r="S239" t="s">
        <v>72</v>
      </c>
      <c r="T239" t="s">
        <v>99</v>
      </c>
      <c r="U239" t="s">
        <v>74</v>
      </c>
      <c r="V239" t="s">
        <v>75</v>
      </c>
      <c r="W239" t="s">
        <v>76</v>
      </c>
      <c r="X239" t="s">
        <v>77</v>
      </c>
      <c r="Y239" t="s">
        <v>108</v>
      </c>
      <c r="Z239" t="str">
        <f>_xlfn.TEXTJOIN(",",TRUE,Table1[[#This Row],[Col5]],Table1[[#This Row],[Col4]],Table1[[#This Row],[Col3]],Table1[[#This Row],[Col2]],Table1[[#This Row],[Col1]])</f>
        <v xml:space="preserve"> Medicines, Personal Care, Daily Essentials, Snacks and Beverages,Groceries</v>
      </c>
      <c r="AA239" t="s">
        <v>78</v>
      </c>
      <c r="AB239" t="s">
        <v>80</v>
      </c>
      <c r="AC239" t="s">
        <v>78</v>
      </c>
      <c r="AD239" t="s">
        <v>80</v>
      </c>
      <c r="AE239" t="s">
        <v>78</v>
      </c>
      <c r="AF239" t="s">
        <v>80</v>
      </c>
      <c r="AG239" t="s">
        <v>78</v>
      </c>
      <c r="AH239" t="s">
        <v>80</v>
      </c>
      <c r="AI239" t="s">
        <v>78</v>
      </c>
      <c r="AJ239" t="s">
        <v>78</v>
      </c>
      <c r="AK239">
        <v>5</v>
      </c>
      <c r="AL239">
        <v>5</v>
      </c>
      <c r="AM239">
        <v>5</v>
      </c>
      <c r="AN239" t="s">
        <v>133</v>
      </c>
    </row>
    <row r="240" spans="1:40" x14ac:dyDescent="0.35">
      <c r="A240">
        <v>27</v>
      </c>
      <c r="B240" t="str" cm="1">
        <f t="array" ref="B240">_xlfn.IFS(A240&lt;=25,"18-25",A240&lt;=33,"26-33",A240&lt;=41,"34-41",A240&lt;=49,"42-49",A240&gt;49,"50 or above")</f>
        <v>26-33</v>
      </c>
      <c r="C240" t="s">
        <v>89</v>
      </c>
      <c r="D240" t="s">
        <v>63</v>
      </c>
      <c r="E240" t="s">
        <v>121</v>
      </c>
      <c r="F240" t="s">
        <v>127</v>
      </c>
      <c r="G240" t="s">
        <v>66</v>
      </c>
      <c r="H240" t="s">
        <v>66</v>
      </c>
      <c r="I240">
        <v>1</v>
      </c>
      <c r="J240" t="s">
        <v>67</v>
      </c>
      <c r="L240" t="s">
        <v>69</v>
      </c>
      <c r="P240" t="s">
        <v>67</v>
      </c>
      <c r="Q240" t="s">
        <v>70</v>
      </c>
      <c r="R240" t="s">
        <v>94</v>
      </c>
      <c r="S240" t="s">
        <v>113</v>
      </c>
      <c r="T240" t="s">
        <v>112</v>
      </c>
      <c r="U240" t="s">
        <v>74</v>
      </c>
      <c r="V240" t="s">
        <v>75</v>
      </c>
      <c r="W240" t="s">
        <v>76</v>
      </c>
      <c r="X240" t="s">
        <v>77</v>
      </c>
      <c r="Y240" t="s">
        <v>108</v>
      </c>
      <c r="Z240" t="str">
        <f>_xlfn.TEXTJOIN(",",TRUE,Table1[[#This Row],[Col5]],Table1[[#This Row],[Col4]],Table1[[#This Row],[Col3]],Table1[[#This Row],[Col2]],Table1[[#This Row],[Col1]])</f>
        <v xml:space="preserve"> Medicines, Personal Care, Daily Essentials, Snacks and Beverages,Groceries</v>
      </c>
      <c r="AA240" t="s">
        <v>80</v>
      </c>
      <c r="AB240" t="s">
        <v>78</v>
      </c>
      <c r="AC240" t="s">
        <v>80</v>
      </c>
      <c r="AD240" t="s">
        <v>80</v>
      </c>
      <c r="AE240" t="s">
        <v>78</v>
      </c>
      <c r="AF240" t="s">
        <v>80</v>
      </c>
      <c r="AG240" t="s">
        <v>80</v>
      </c>
      <c r="AH240" t="s">
        <v>80</v>
      </c>
      <c r="AI240" t="s">
        <v>78</v>
      </c>
      <c r="AJ240" t="s">
        <v>80</v>
      </c>
      <c r="AK240">
        <v>3</v>
      </c>
      <c r="AL240">
        <v>3</v>
      </c>
      <c r="AM240">
        <v>3</v>
      </c>
      <c r="AN240" t="s">
        <v>104</v>
      </c>
    </row>
    <row r="241" spans="1:40" x14ac:dyDescent="0.35">
      <c r="A241">
        <v>29</v>
      </c>
      <c r="B241" t="str" cm="1">
        <f t="array" ref="B241">_xlfn.IFS(A241&lt;=25,"18-25",A241&lt;=33,"26-33",A241&lt;=41,"34-41",A241&lt;=49,"42-49",A241&gt;49,"50 or above")</f>
        <v>26-33</v>
      </c>
      <c r="C241" t="s">
        <v>62</v>
      </c>
      <c r="D241" t="s">
        <v>116</v>
      </c>
      <c r="E241" t="s">
        <v>109</v>
      </c>
      <c r="F241" t="s">
        <v>102</v>
      </c>
      <c r="G241" t="s">
        <v>66</v>
      </c>
      <c r="H241" t="s">
        <v>66</v>
      </c>
      <c r="I241">
        <v>1</v>
      </c>
      <c r="J241" t="s">
        <v>67</v>
      </c>
      <c r="K241" t="s">
        <v>68</v>
      </c>
      <c r="L241" t="s">
        <v>69</v>
      </c>
      <c r="P241" t="s">
        <v>93</v>
      </c>
      <c r="Q241" t="s">
        <v>70</v>
      </c>
      <c r="R241" t="s">
        <v>110</v>
      </c>
      <c r="S241" t="s">
        <v>113</v>
      </c>
      <c r="T241" t="s">
        <v>140</v>
      </c>
      <c r="U241" t="s">
        <v>74</v>
      </c>
      <c r="V241" t="s">
        <v>75</v>
      </c>
      <c r="W241" t="s">
        <v>76</v>
      </c>
      <c r="X241" t="s">
        <v>77</v>
      </c>
      <c r="Y241" t="s">
        <v>108</v>
      </c>
      <c r="Z241" t="str">
        <f>_xlfn.TEXTJOIN(",",TRUE,Table1[[#This Row],[Col5]],Table1[[#This Row],[Col4]],Table1[[#This Row],[Col3]],Table1[[#This Row],[Col2]],Table1[[#This Row],[Col1]])</f>
        <v xml:space="preserve"> Medicines, Personal Care, Daily Essentials, Snacks and Beverages,Groceries</v>
      </c>
      <c r="AA241" t="s">
        <v>78</v>
      </c>
      <c r="AB241" t="s">
        <v>78</v>
      </c>
      <c r="AC241" t="s">
        <v>79</v>
      </c>
      <c r="AD241" t="s">
        <v>78</v>
      </c>
      <c r="AE241" t="s">
        <v>79</v>
      </c>
      <c r="AF241" t="s">
        <v>78</v>
      </c>
      <c r="AG241" t="s">
        <v>78</v>
      </c>
      <c r="AH241" t="s">
        <v>78</v>
      </c>
      <c r="AI241" t="s">
        <v>78</v>
      </c>
      <c r="AJ241" t="s">
        <v>78</v>
      </c>
      <c r="AK241">
        <v>4</v>
      </c>
      <c r="AL241">
        <v>5</v>
      </c>
      <c r="AM241">
        <v>4</v>
      </c>
      <c r="AN241" t="s">
        <v>133</v>
      </c>
    </row>
    <row r="242" spans="1:40" x14ac:dyDescent="0.35">
      <c r="A242">
        <v>33</v>
      </c>
      <c r="B242" t="str" cm="1">
        <f t="array" ref="B242">_xlfn.IFS(A242&lt;=25,"18-25",A242&lt;=33,"26-33",A242&lt;=41,"34-41",A242&lt;=49,"42-49",A242&gt;49,"50 or above")</f>
        <v>26-33</v>
      </c>
      <c r="C242" t="s">
        <v>89</v>
      </c>
      <c r="D242" t="s">
        <v>105</v>
      </c>
      <c r="E242" t="s">
        <v>86</v>
      </c>
      <c r="F242" t="s">
        <v>90</v>
      </c>
      <c r="G242" t="s">
        <v>66</v>
      </c>
      <c r="H242" t="s">
        <v>66</v>
      </c>
      <c r="I242">
        <v>1</v>
      </c>
      <c r="J242" t="s">
        <v>67</v>
      </c>
      <c r="K242" t="s">
        <v>68</v>
      </c>
      <c r="L242" t="s">
        <v>69</v>
      </c>
      <c r="P242" t="s">
        <v>91</v>
      </c>
      <c r="Q242" t="s">
        <v>98</v>
      </c>
      <c r="R242" t="s">
        <v>92</v>
      </c>
      <c r="S242" t="s">
        <v>72</v>
      </c>
      <c r="T242" t="s">
        <v>73</v>
      </c>
      <c r="U242" t="s">
        <v>74</v>
      </c>
      <c r="W242" t="s">
        <v>76</v>
      </c>
      <c r="X242" t="s">
        <v>77</v>
      </c>
      <c r="Y242" t="s">
        <v>108</v>
      </c>
      <c r="Z242" t="str">
        <f>_xlfn.TEXTJOIN(",",TRUE,Table1[[#This Row],[Col5]],Table1[[#This Row],[Col4]],Table1[[#This Row],[Col3]],Table1[[#This Row],[Col2]],Table1[[#This Row],[Col1]])</f>
        <v xml:space="preserve"> Medicines, Personal Care, Daily Essentials,Groceries</v>
      </c>
      <c r="AA242" t="s">
        <v>81</v>
      </c>
      <c r="AB242" t="s">
        <v>81</v>
      </c>
      <c r="AC242" t="s">
        <v>78</v>
      </c>
      <c r="AD242" t="s">
        <v>81</v>
      </c>
      <c r="AE242" t="s">
        <v>78</v>
      </c>
      <c r="AF242" t="s">
        <v>80</v>
      </c>
      <c r="AG242" t="s">
        <v>81</v>
      </c>
      <c r="AH242" t="s">
        <v>81</v>
      </c>
      <c r="AI242" t="s">
        <v>81</v>
      </c>
      <c r="AJ242" t="s">
        <v>80</v>
      </c>
      <c r="AK242">
        <v>3</v>
      </c>
      <c r="AL242">
        <v>3</v>
      </c>
      <c r="AM242">
        <v>3</v>
      </c>
      <c r="AN242" t="s">
        <v>97</v>
      </c>
    </row>
    <row r="243" spans="1:40" x14ac:dyDescent="0.35">
      <c r="A243">
        <v>25</v>
      </c>
      <c r="B243" t="str" cm="1">
        <f t="array" ref="B243">_xlfn.IFS(A243&lt;=25,"18-25",A243&lt;=33,"26-33",A243&lt;=41,"34-41",A243&lt;=49,"42-49",A243&gt;49,"50 or above")</f>
        <v>18-25</v>
      </c>
      <c r="C243" t="s">
        <v>62</v>
      </c>
      <c r="D243" t="s">
        <v>116</v>
      </c>
      <c r="E243" t="s">
        <v>121</v>
      </c>
      <c r="F243" t="s">
        <v>102</v>
      </c>
      <c r="G243" t="s">
        <v>66</v>
      </c>
      <c r="H243" t="s">
        <v>66</v>
      </c>
      <c r="I243">
        <v>1</v>
      </c>
      <c r="J243" t="s">
        <v>67</v>
      </c>
      <c r="L243" t="s">
        <v>69</v>
      </c>
      <c r="P243" t="s">
        <v>91</v>
      </c>
      <c r="Q243" t="s">
        <v>98</v>
      </c>
      <c r="R243" t="s">
        <v>110</v>
      </c>
      <c r="S243" t="s">
        <v>95</v>
      </c>
      <c r="T243" t="s">
        <v>73</v>
      </c>
      <c r="U243" t="s">
        <v>74</v>
      </c>
      <c r="Y243" t="s">
        <v>108</v>
      </c>
      <c r="Z243" t="str">
        <f>_xlfn.TEXTJOIN(",",TRUE,Table1[[#This Row],[Col5]],Table1[[#This Row],[Col4]],Table1[[#This Row],[Col3]],Table1[[#This Row],[Col2]],Table1[[#This Row],[Col1]])</f>
        <v xml:space="preserve"> Medicines,Groceries</v>
      </c>
      <c r="AA243" t="s">
        <v>80</v>
      </c>
      <c r="AB243" t="s">
        <v>80</v>
      </c>
      <c r="AC243" t="s">
        <v>79</v>
      </c>
      <c r="AD243" t="s">
        <v>81</v>
      </c>
      <c r="AE243" t="s">
        <v>80</v>
      </c>
      <c r="AF243" t="s">
        <v>80</v>
      </c>
      <c r="AG243" t="s">
        <v>81</v>
      </c>
      <c r="AH243" t="s">
        <v>80</v>
      </c>
      <c r="AI243" t="s">
        <v>80</v>
      </c>
      <c r="AJ243" t="s">
        <v>80</v>
      </c>
      <c r="AK243">
        <v>3</v>
      </c>
      <c r="AL243">
        <v>3</v>
      </c>
      <c r="AM243">
        <v>4</v>
      </c>
      <c r="AN243" t="s">
        <v>128</v>
      </c>
    </row>
    <row r="244" spans="1:40" x14ac:dyDescent="0.35">
      <c r="A244">
        <v>28</v>
      </c>
      <c r="B244" t="str" cm="1">
        <f t="array" ref="B244">_xlfn.IFS(A244&lt;=25,"18-25",A244&lt;=33,"26-33",A244&lt;=41,"34-41",A244&lt;=49,"42-49",A244&gt;49,"50 or above")</f>
        <v>26-33</v>
      </c>
      <c r="C244" t="s">
        <v>89</v>
      </c>
      <c r="D244" t="s">
        <v>63</v>
      </c>
      <c r="E244" t="s">
        <v>86</v>
      </c>
      <c r="F244" t="s">
        <v>90</v>
      </c>
      <c r="G244" t="s">
        <v>66</v>
      </c>
      <c r="H244" t="s">
        <v>66</v>
      </c>
      <c r="I244">
        <v>1</v>
      </c>
      <c r="J244" t="s">
        <v>67</v>
      </c>
      <c r="L244" t="s">
        <v>69</v>
      </c>
      <c r="P244" t="s">
        <v>67</v>
      </c>
      <c r="Q244" t="s">
        <v>70</v>
      </c>
      <c r="R244" t="s">
        <v>71</v>
      </c>
      <c r="S244" t="s">
        <v>113</v>
      </c>
      <c r="T244" t="s">
        <v>99</v>
      </c>
      <c r="W244" t="s">
        <v>134</v>
      </c>
      <c r="Y244" t="s">
        <v>108</v>
      </c>
      <c r="Z244" t="str">
        <f>_xlfn.TEXTJOIN(",",TRUE,Table1[[#This Row],[Col5]],Table1[[#This Row],[Col4]],Table1[[#This Row],[Col3]],Table1[[#This Row],[Col2]],Table1[[#This Row],[Col1]])</f>
        <v xml:space="preserve"> Medicines,Daily Essentials</v>
      </c>
      <c r="AA244" t="s">
        <v>81</v>
      </c>
      <c r="AB244" t="s">
        <v>81</v>
      </c>
      <c r="AC244" t="s">
        <v>78</v>
      </c>
      <c r="AD244" t="s">
        <v>78</v>
      </c>
      <c r="AE244" t="s">
        <v>78</v>
      </c>
      <c r="AF244" t="s">
        <v>81</v>
      </c>
      <c r="AG244" t="s">
        <v>81</v>
      </c>
      <c r="AH244" t="s">
        <v>81</v>
      </c>
      <c r="AI244" t="s">
        <v>81</v>
      </c>
      <c r="AJ244" t="s">
        <v>81</v>
      </c>
      <c r="AK244">
        <v>3</v>
      </c>
      <c r="AL244">
        <v>3</v>
      </c>
      <c r="AM244">
        <v>3</v>
      </c>
      <c r="AN244" t="s">
        <v>97</v>
      </c>
    </row>
    <row r="245" spans="1:40" x14ac:dyDescent="0.35">
      <c r="A245">
        <v>37</v>
      </c>
      <c r="B245" t="str" cm="1">
        <f t="array" ref="B245">_xlfn.IFS(A245&lt;=25,"18-25",A245&lt;=33,"26-33",A245&lt;=41,"34-41",A245&lt;=49,"42-49",A245&gt;49,"50 or above")</f>
        <v>34-41</v>
      </c>
      <c r="C245" t="s">
        <v>62</v>
      </c>
      <c r="D245" t="s">
        <v>105</v>
      </c>
      <c r="E245" t="s">
        <v>109</v>
      </c>
      <c r="F245" t="s">
        <v>65</v>
      </c>
      <c r="G245" t="s">
        <v>66</v>
      </c>
      <c r="H245" t="s">
        <v>66</v>
      </c>
      <c r="I245">
        <v>1</v>
      </c>
      <c r="J245" t="s">
        <v>67</v>
      </c>
      <c r="K245" t="s">
        <v>68</v>
      </c>
      <c r="L245" t="s">
        <v>69</v>
      </c>
      <c r="P245" t="s">
        <v>91</v>
      </c>
      <c r="Q245" t="s">
        <v>98</v>
      </c>
      <c r="R245" t="s">
        <v>92</v>
      </c>
      <c r="S245" t="s">
        <v>107</v>
      </c>
      <c r="T245" t="s">
        <v>73</v>
      </c>
      <c r="U245" t="s">
        <v>74</v>
      </c>
      <c r="V245" t="s">
        <v>75</v>
      </c>
      <c r="W245" t="s">
        <v>76</v>
      </c>
      <c r="X245" t="s">
        <v>77</v>
      </c>
      <c r="Y245" t="s">
        <v>108</v>
      </c>
      <c r="Z245" t="str">
        <f>_xlfn.TEXTJOIN(",",TRUE,Table1[[#This Row],[Col5]],Table1[[#This Row],[Col4]],Table1[[#This Row],[Col3]],Table1[[#This Row],[Col2]],Table1[[#This Row],[Col1]])</f>
        <v xml:space="preserve"> Medicines, Personal Care, Daily Essentials, Snacks and Beverages,Groceries</v>
      </c>
      <c r="AA245" t="s">
        <v>78</v>
      </c>
      <c r="AB245" t="s">
        <v>78</v>
      </c>
      <c r="AC245" t="s">
        <v>79</v>
      </c>
      <c r="AD245" t="s">
        <v>78</v>
      </c>
      <c r="AE245" t="s">
        <v>79</v>
      </c>
      <c r="AF245" t="s">
        <v>78</v>
      </c>
      <c r="AG245" t="s">
        <v>78</v>
      </c>
      <c r="AH245" t="s">
        <v>78</v>
      </c>
      <c r="AI245" t="s">
        <v>78</v>
      </c>
      <c r="AJ245" t="s">
        <v>78</v>
      </c>
      <c r="AK245">
        <v>4</v>
      </c>
      <c r="AL245">
        <v>4</v>
      </c>
      <c r="AM245">
        <v>4</v>
      </c>
      <c r="AN245" t="s">
        <v>82</v>
      </c>
    </row>
    <row r="246" spans="1:40" x14ac:dyDescent="0.35">
      <c r="A246">
        <v>28</v>
      </c>
      <c r="B246" t="str" cm="1">
        <f t="array" ref="B246">_xlfn.IFS(A246&lt;=25,"18-25",A246&lt;=33,"26-33",A246&lt;=41,"34-41",A246&lt;=49,"42-49",A246&gt;49,"50 or above")</f>
        <v>26-33</v>
      </c>
      <c r="C246" t="s">
        <v>89</v>
      </c>
      <c r="D246" t="s">
        <v>116</v>
      </c>
      <c r="E246" t="s">
        <v>86</v>
      </c>
      <c r="F246" t="s">
        <v>87</v>
      </c>
      <c r="G246" t="s">
        <v>66</v>
      </c>
      <c r="H246" t="s">
        <v>66</v>
      </c>
      <c r="I246">
        <v>1</v>
      </c>
      <c r="J246" t="s">
        <v>67</v>
      </c>
      <c r="K246" t="s">
        <v>68</v>
      </c>
      <c r="L246" t="s">
        <v>69</v>
      </c>
      <c r="P246" t="s">
        <v>67</v>
      </c>
      <c r="Q246" t="s">
        <v>98</v>
      </c>
      <c r="R246" t="s">
        <v>92</v>
      </c>
      <c r="S246" t="s">
        <v>107</v>
      </c>
      <c r="T246" t="s">
        <v>140</v>
      </c>
      <c r="U246" t="s">
        <v>74</v>
      </c>
      <c r="W246" t="s">
        <v>76</v>
      </c>
      <c r="Z246" t="str">
        <f>_xlfn.TEXTJOIN(",",TRUE,Table1[[#This Row],[Col5]],Table1[[#This Row],[Col4]],Table1[[#This Row],[Col3]],Table1[[#This Row],[Col2]],Table1[[#This Row],[Col1]])</f>
        <v xml:space="preserve"> Daily Essentials,Groceries</v>
      </c>
      <c r="AA246" t="s">
        <v>80</v>
      </c>
      <c r="AB246" t="s">
        <v>78</v>
      </c>
      <c r="AC246" t="s">
        <v>80</v>
      </c>
      <c r="AD246" t="s">
        <v>78</v>
      </c>
      <c r="AE246" t="s">
        <v>80</v>
      </c>
      <c r="AF246" t="s">
        <v>78</v>
      </c>
      <c r="AG246" t="s">
        <v>80</v>
      </c>
      <c r="AH246" t="s">
        <v>80</v>
      </c>
      <c r="AI246" t="s">
        <v>80</v>
      </c>
      <c r="AJ246" t="s">
        <v>78</v>
      </c>
      <c r="AK246">
        <v>4</v>
      </c>
      <c r="AL246">
        <v>4</v>
      </c>
      <c r="AM246">
        <v>3</v>
      </c>
      <c r="AN246" t="s">
        <v>133</v>
      </c>
    </row>
    <row r="247" spans="1:40" x14ac:dyDescent="0.35">
      <c r="A247">
        <v>32</v>
      </c>
      <c r="B247" t="str" cm="1">
        <f t="array" ref="B247">_xlfn.IFS(A247&lt;=25,"18-25",A247&lt;=33,"26-33",A247&lt;=41,"34-41",A247&lt;=49,"42-49",A247&gt;49,"50 or above")</f>
        <v>26-33</v>
      </c>
      <c r="C247" t="s">
        <v>62</v>
      </c>
      <c r="D247" t="s">
        <v>105</v>
      </c>
      <c r="E247" t="s">
        <v>109</v>
      </c>
      <c r="F247" t="s">
        <v>87</v>
      </c>
      <c r="G247" t="s">
        <v>66</v>
      </c>
      <c r="H247" t="s">
        <v>66</v>
      </c>
      <c r="I247">
        <v>1</v>
      </c>
      <c r="J247" t="s">
        <v>67</v>
      </c>
      <c r="L247" t="s">
        <v>69</v>
      </c>
      <c r="P247" t="s">
        <v>67</v>
      </c>
      <c r="Q247" t="s">
        <v>98</v>
      </c>
      <c r="R247" t="s">
        <v>92</v>
      </c>
      <c r="S247" t="s">
        <v>113</v>
      </c>
      <c r="T247" t="s">
        <v>140</v>
      </c>
      <c r="U247" t="s">
        <v>74</v>
      </c>
      <c r="Y247" t="s">
        <v>108</v>
      </c>
      <c r="Z247" t="str">
        <f>_xlfn.TEXTJOIN(",",TRUE,Table1[[#This Row],[Col5]],Table1[[#This Row],[Col4]],Table1[[#This Row],[Col3]],Table1[[#This Row],[Col2]],Table1[[#This Row],[Col1]])</f>
        <v xml:space="preserve"> Medicines,Groceries</v>
      </c>
      <c r="AA247" t="s">
        <v>81</v>
      </c>
      <c r="AB247" t="s">
        <v>81</v>
      </c>
      <c r="AC247" t="s">
        <v>80</v>
      </c>
      <c r="AD247" t="s">
        <v>81</v>
      </c>
      <c r="AE247" t="s">
        <v>80</v>
      </c>
      <c r="AF247" t="s">
        <v>81</v>
      </c>
      <c r="AG247" t="s">
        <v>81</v>
      </c>
      <c r="AH247" t="s">
        <v>81</v>
      </c>
      <c r="AI247" t="s">
        <v>80</v>
      </c>
      <c r="AJ247" t="s">
        <v>80</v>
      </c>
      <c r="AK247">
        <v>4</v>
      </c>
      <c r="AL247">
        <v>4</v>
      </c>
      <c r="AM247">
        <v>4</v>
      </c>
      <c r="AN247" t="s">
        <v>104</v>
      </c>
    </row>
    <row r="248" spans="1:40" x14ac:dyDescent="0.35">
      <c r="A248">
        <v>32</v>
      </c>
      <c r="B248" t="str" cm="1">
        <f t="array" ref="B248">_xlfn.IFS(A248&lt;=25,"18-25",A248&lt;=33,"26-33",A248&lt;=41,"34-41",A248&lt;=49,"42-49",A248&gt;49,"50 or above")</f>
        <v>26-33</v>
      </c>
      <c r="C248" t="s">
        <v>89</v>
      </c>
      <c r="D248" t="s">
        <v>105</v>
      </c>
      <c r="E248" t="s">
        <v>109</v>
      </c>
      <c r="F248" t="s">
        <v>87</v>
      </c>
      <c r="G248" t="s">
        <v>66</v>
      </c>
      <c r="H248" t="s">
        <v>66</v>
      </c>
      <c r="I248">
        <v>1</v>
      </c>
      <c r="J248" t="s">
        <v>67</v>
      </c>
      <c r="K248" t="s">
        <v>68</v>
      </c>
      <c r="L248" t="s">
        <v>69</v>
      </c>
      <c r="P248" t="s">
        <v>93</v>
      </c>
      <c r="Q248" t="s">
        <v>98</v>
      </c>
      <c r="R248" t="s">
        <v>71</v>
      </c>
      <c r="S248" t="s">
        <v>72</v>
      </c>
      <c r="T248" t="s">
        <v>112</v>
      </c>
      <c r="X248" t="s">
        <v>131</v>
      </c>
      <c r="Z248" t="str">
        <f>_xlfn.TEXTJOIN(",",TRUE,Table1[[#This Row],[Col5]],Table1[[#This Row],[Col4]],Table1[[#This Row],[Col3]],Table1[[#This Row],[Col2]],Table1[[#This Row],[Col1]])</f>
        <v>Personal Care</v>
      </c>
      <c r="AA248" t="s">
        <v>81</v>
      </c>
      <c r="AB248" t="s">
        <v>81</v>
      </c>
      <c r="AC248" t="s">
        <v>78</v>
      </c>
      <c r="AD248" t="s">
        <v>78</v>
      </c>
      <c r="AE248" t="s">
        <v>78</v>
      </c>
      <c r="AF248" t="s">
        <v>81</v>
      </c>
      <c r="AG248" t="s">
        <v>80</v>
      </c>
      <c r="AH248" t="s">
        <v>80</v>
      </c>
      <c r="AI248" t="s">
        <v>80</v>
      </c>
      <c r="AJ248" t="s">
        <v>80</v>
      </c>
      <c r="AK248">
        <v>3</v>
      </c>
      <c r="AL248">
        <v>3</v>
      </c>
      <c r="AM248">
        <v>3</v>
      </c>
      <c r="AN248" t="s">
        <v>128</v>
      </c>
    </row>
    <row r="249" spans="1:40" x14ac:dyDescent="0.35">
      <c r="A249">
        <v>24</v>
      </c>
      <c r="B249" t="str" cm="1">
        <f t="array" ref="B249">_xlfn.IFS(A249&lt;=25,"18-25",A249&lt;=33,"26-33",A249&lt;=41,"34-41",A249&lt;=49,"42-49",A249&gt;49,"50 or above")</f>
        <v>18-25</v>
      </c>
      <c r="C249" t="s">
        <v>62</v>
      </c>
      <c r="D249" t="s">
        <v>63</v>
      </c>
      <c r="E249" t="s">
        <v>86</v>
      </c>
      <c r="F249" t="s">
        <v>87</v>
      </c>
      <c r="G249" t="s">
        <v>66</v>
      </c>
      <c r="H249" t="s">
        <v>66</v>
      </c>
      <c r="I249">
        <v>1</v>
      </c>
      <c r="J249" t="s">
        <v>67</v>
      </c>
      <c r="K249" t="s">
        <v>68</v>
      </c>
      <c r="L249" t="s">
        <v>69</v>
      </c>
      <c r="P249" t="s">
        <v>67</v>
      </c>
      <c r="Q249" t="s">
        <v>70</v>
      </c>
      <c r="R249" t="s">
        <v>94</v>
      </c>
      <c r="S249" t="s">
        <v>107</v>
      </c>
      <c r="T249" t="s">
        <v>73</v>
      </c>
      <c r="U249" t="s">
        <v>74</v>
      </c>
      <c r="Z249" t="str">
        <f>_xlfn.TEXTJOIN(",",TRUE,Table1[[#This Row],[Col5]],Table1[[#This Row],[Col4]],Table1[[#This Row],[Col3]],Table1[[#This Row],[Col2]],Table1[[#This Row],[Col1]])</f>
        <v>Groceries</v>
      </c>
      <c r="AA249" t="s">
        <v>78</v>
      </c>
      <c r="AB249" t="s">
        <v>78</v>
      </c>
      <c r="AC249" t="s">
        <v>81</v>
      </c>
      <c r="AD249" t="s">
        <v>81</v>
      </c>
      <c r="AE249" t="s">
        <v>81</v>
      </c>
      <c r="AF249" t="s">
        <v>81</v>
      </c>
      <c r="AG249" t="s">
        <v>78</v>
      </c>
      <c r="AH249" t="s">
        <v>81</v>
      </c>
      <c r="AI249" t="s">
        <v>80</v>
      </c>
      <c r="AJ249" t="s">
        <v>80</v>
      </c>
      <c r="AK249">
        <v>4</v>
      </c>
      <c r="AL249">
        <v>4</v>
      </c>
      <c r="AM249">
        <v>4</v>
      </c>
      <c r="AN249" t="s">
        <v>115</v>
      </c>
    </row>
    <row r="250" spans="1:40" x14ac:dyDescent="0.35">
      <c r="A250">
        <v>28</v>
      </c>
      <c r="B250" t="str" cm="1">
        <f t="array" ref="B250">_xlfn.IFS(A250&lt;=25,"18-25",A250&lt;=33,"26-33",A250&lt;=41,"34-41",A250&lt;=49,"42-49",A250&gt;49,"50 or above")</f>
        <v>26-33</v>
      </c>
      <c r="C250" t="s">
        <v>89</v>
      </c>
      <c r="D250" t="s">
        <v>116</v>
      </c>
      <c r="E250" t="s">
        <v>86</v>
      </c>
      <c r="F250" t="s">
        <v>102</v>
      </c>
      <c r="G250" t="s">
        <v>66</v>
      </c>
      <c r="H250" t="s">
        <v>66</v>
      </c>
      <c r="I250">
        <v>1</v>
      </c>
      <c r="J250" t="s">
        <v>67</v>
      </c>
      <c r="K250" t="s">
        <v>68</v>
      </c>
      <c r="L250" t="s">
        <v>69</v>
      </c>
      <c r="P250" t="s">
        <v>91</v>
      </c>
      <c r="Q250" t="s">
        <v>103</v>
      </c>
      <c r="R250" t="s">
        <v>71</v>
      </c>
      <c r="S250" t="s">
        <v>95</v>
      </c>
      <c r="T250" t="s">
        <v>73</v>
      </c>
      <c r="U250" t="s">
        <v>74</v>
      </c>
      <c r="Y250" t="s">
        <v>108</v>
      </c>
      <c r="Z250" t="str">
        <f>_xlfn.TEXTJOIN(",",TRUE,Table1[[#This Row],[Col5]],Table1[[#This Row],[Col4]],Table1[[#This Row],[Col3]],Table1[[#This Row],[Col2]],Table1[[#This Row],[Col1]])</f>
        <v xml:space="preserve"> Medicines,Groceries</v>
      </c>
      <c r="AA250" t="s">
        <v>78</v>
      </c>
      <c r="AB250" t="s">
        <v>78</v>
      </c>
      <c r="AC250" t="s">
        <v>81</v>
      </c>
      <c r="AD250" t="s">
        <v>81</v>
      </c>
      <c r="AE250" t="s">
        <v>81</v>
      </c>
      <c r="AF250" t="s">
        <v>78</v>
      </c>
      <c r="AG250" t="s">
        <v>78</v>
      </c>
      <c r="AH250" t="s">
        <v>78</v>
      </c>
      <c r="AI250" t="s">
        <v>78</v>
      </c>
      <c r="AJ250" t="s">
        <v>78</v>
      </c>
      <c r="AK250">
        <v>5</v>
      </c>
      <c r="AL250">
        <v>5</v>
      </c>
      <c r="AM250">
        <v>5</v>
      </c>
      <c r="AN250" t="s">
        <v>115</v>
      </c>
    </row>
    <row r="251" spans="1:40" x14ac:dyDescent="0.35">
      <c r="A251">
        <v>30</v>
      </c>
      <c r="B251" t="str" cm="1">
        <f t="array" ref="B251">_xlfn.IFS(A251&lt;=25,"18-25",A251&lt;=33,"26-33",A251&lt;=41,"34-41",A251&lt;=49,"42-49",A251&gt;49,"50 or above")</f>
        <v>26-33</v>
      </c>
      <c r="C251" t="s">
        <v>89</v>
      </c>
      <c r="D251" t="s">
        <v>63</v>
      </c>
      <c r="E251" t="s">
        <v>86</v>
      </c>
      <c r="F251" t="s">
        <v>90</v>
      </c>
      <c r="G251" t="s">
        <v>66</v>
      </c>
      <c r="H251" t="s">
        <v>66</v>
      </c>
      <c r="I251">
        <v>1</v>
      </c>
      <c r="J251" t="s">
        <v>67</v>
      </c>
      <c r="K251" t="s">
        <v>68</v>
      </c>
      <c r="L251" t="s">
        <v>69</v>
      </c>
      <c r="P251" t="s">
        <v>91</v>
      </c>
      <c r="Q251" t="s">
        <v>103</v>
      </c>
      <c r="R251" t="s">
        <v>92</v>
      </c>
      <c r="S251" t="s">
        <v>72</v>
      </c>
      <c r="T251" t="s">
        <v>73</v>
      </c>
      <c r="U251" t="s">
        <v>74</v>
      </c>
      <c r="V251" t="s">
        <v>75</v>
      </c>
      <c r="W251" t="s">
        <v>76</v>
      </c>
      <c r="X251" t="s">
        <v>77</v>
      </c>
      <c r="Y251" t="s">
        <v>108</v>
      </c>
      <c r="Z251" t="str">
        <f>_xlfn.TEXTJOIN(",",TRUE,Table1[[#This Row],[Col5]],Table1[[#This Row],[Col4]],Table1[[#This Row],[Col3]],Table1[[#This Row],[Col2]],Table1[[#This Row],[Col1]])</f>
        <v xml:space="preserve"> Medicines, Personal Care, Daily Essentials, Snacks and Beverages,Groceries</v>
      </c>
      <c r="AA251" t="s">
        <v>80</v>
      </c>
      <c r="AB251" t="s">
        <v>80</v>
      </c>
      <c r="AC251" t="s">
        <v>80</v>
      </c>
      <c r="AD251" t="s">
        <v>80</v>
      </c>
      <c r="AE251" t="s">
        <v>80</v>
      </c>
      <c r="AF251" t="s">
        <v>80</v>
      </c>
      <c r="AG251" t="s">
        <v>80</v>
      </c>
      <c r="AH251" t="s">
        <v>80</v>
      </c>
      <c r="AI251" t="s">
        <v>80</v>
      </c>
      <c r="AJ251" t="s">
        <v>80</v>
      </c>
      <c r="AK251">
        <v>4</v>
      </c>
      <c r="AL251">
        <v>4</v>
      </c>
      <c r="AM251">
        <v>4</v>
      </c>
      <c r="AN251" t="s">
        <v>82</v>
      </c>
    </row>
    <row r="252" spans="1:40" x14ac:dyDescent="0.35">
      <c r="A252">
        <v>26</v>
      </c>
      <c r="B252" t="str" cm="1">
        <f t="array" ref="B252">_xlfn.IFS(A252&lt;=25,"18-25",A252&lt;=33,"26-33",A252&lt;=41,"34-41",A252&lt;=49,"42-49",A252&gt;49,"50 or above")</f>
        <v>26-33</v>
      </c>
      <c r="C252" t="s">
        <v>62</v>
      </c>
      <c r="D252" t="s">
        <v>63</v>
      </c>
      <c r="E252" t="s">
        <v>86</v>
      </c>
      <c r="F252" t="s">
        <v>90</v>
      </c>
      <c r="G252" t="s">
        <v>66</v>
      </c>
      <c r="H252" t="s">
        <v>66</v>
      </c>
      <c r="I252">
        <v>1</v>
      </c>
      <c r="J252" t="s">
        <v>67</v>
      </c>
      <c r="K252" t="s">
        <v>68</v>
      </c>
      <c r="L252" t="s">
        <v>69</v>
      </c>
      <c r="P252" t="s">
        <v>91</v>
      </c>
      <c r="Q252" t="s">
        <v>98</v>
      </c>
      <c r="R252" t="s">
        <v>71</v>
      </c>
      <c r="S252" t="s">
        <v>95</v>
      </c>
      <c r="T252" t="s">
        <v>73</v>
      </c>
      <c r="U252" t="s">
        <v>74</v>
      </c>
      <c r="Y252" t="s">
        <v>108</v>
      </c>
      <c r="Z252" t="str">
        <f>_xlfn.TEXTJOIN(",",TRUE,Table1[[#This Row],[Col5]],Table1[[#This Row],[Col4]],Table1[[#This Row],[Col3]],Table1[[#This Row],[Col2]],Table1[[#This Row],[Col1]])</f>
        <v xml:space="preserve"> Medicines,Groceries</v>
      </c>
      <c r="AA252" t="s">
        <v>78</v>
      </c>
      <c r="AB252" t="s">
        <v>78</v>
      </c>
      <c r="AC252" t="s">
        <v>80</v>
      </c>
      <c r="AD252" t="s">
        <v>80</v>
      </c>
      <c r="AE252" t="s">
        <v>80</v>
      </c>
      <c r="AF252" t="s">
        <v>80</v>
      </c>
      <c r="AG252" t="s">
        <v>81</v>
      </c>
      <c r="AH252" t="s">
        <v>81</v>
      </c>
      <c r="AI252" t="s">
        <v>81</v>
      </c>
      <c r="AJ252" t="s">
        <v>81</v>
      </c>
      <c r="AK252">
        <v>3</v>
      </c>
      <c r="AL252">
        <v>3</v>
      </c>
      <c r="AM252">
        <v>3</v>
      </c>
      <c r="AN252" t="s">
        <v>97</v>
      </c>
    </row>
    <row r="253" spans="1:40" x14ac:dyDescent="0.35">
      <c r="A253">
        <v>35</v>
      </c>
      <c r="B253" t="str" cm="1">
        <f t="array" ref="B253">_xlfn.IFS(A253&lt;=25,"18-25",A253&lt;=33,"26-33",A253&lt;=41,"34-41",A253&lt;=49,"42-49",A253&gt;49,"50 or above")</f>
        <v>34-41</v>
      </c>
      <c r="C253" t="s">
        <v>62</v>
      </c>
      <c r="D253" t="s">
        <v>105</v>
      </c>
      <c r="E253" t="s">
        <v>109</v>
      </c>
      <c r="F253" t="s">
        <v>90</v>
      </c>
      <c r="G253" t="s">
        <v>66</v>
      </c>
      <c r="H253" t="s">
        <v>66</v>
      </c>
      <c r="I253">
        <v>1</v>
      </c>
      <c r="J253" t="s">
        <v>67</v>
      </c>
      <c r="K253" t="s">
        <v>68</v>
      </c>
      <c r="L253" t="s">
        <v>69</v>
      </c>
      <c r="P253" t="s">
        <v>67</v>
      </c>
      <c r="Q253" t="s">
        <v>103</v>
      </c>
      <c r="R253" t="s">
        <v>92</v>
      </c>
      <c r="S253" t="s">
        <v>113</v>
      </c>
      <c r="T253" t="s">
        <v>73</v>
      </c>
      <c r="U253" t="s">
        <v>74</v>
      </c>
      <c r="Z253" t="str">
        <f>_xlfn.TEXTJOIN(",",TRUE,Table1[[#This Row],[Col5]],Table1[[#This Row],[Col4]],Table1[[#This Row],[Col3]],Table1[[#This Row],[Col2]],Table1[[#This Row],[Col1]])</f>
        <v>Groceries</v>
      </c>
      <c r="AA253" t="s">
        <v>80</v>
      </c>
      <c r="AB253" t="s">
        <v>78</v>
      </c>
      <c r="AC253" t="s">
        <v>80</v>
      </c>
      <c r="AD253" t="s">
        <v>80</v>
      </c>
      <c r="AE253" t="s">
        <v>80</v>
      </c>
      <c r="AF253" t="s">
        <v>80</v>
      </c>
      <c r="AG253" t="s">
        <v>80</v>
      </c>
      <c r="AH253" t="s">
        <v>81</v>
      </c>
      <c r="AI253" t="s">
        <v>80</v>
      </c>
      <c r="AJ253" t="s">
        <v>80</v>
      </c>
      <c r="AK253">
        <v>4</v>
      </c>
      <c r="AL253">
        <v>4</v>
      </c>
      <c r="AM253">
        <v>4</v>
      </c>
      <c r="AN253" t="s">
        <v>82</v>
      </c>
    </row>
    <row r="254" spans="1:40" x14ac:dyDescent="0.35">
      <c r="A254">
        <v>40</v>
      </c>
      <c r="B254" t="str" cm="1">
        <f t="array" ref="B254">_xlfn.IFS(A254&lt;=25,"18-25",A254&lt;=33,"26-33",A254&lt;=41,"34-41",A254&lt;=49,"42-49",A254&gt;49,"50 or above")</f>
        <v>34-41</v>
      </c>
      <c r="C254" t="s">
        <v>89</v>
      </c>
      <c r="D254" t="s">
        <v>105</v>
      </c>
      <c r="E254" t="s">
        <v>86</v>
      </c>
      <c r="F254" t="s">
        <v>102</v>
      </c>
      <c r="G254" t="s">
        <v>66</v>
      </c>
      <c r="H254" t="s">
        <v>66</v>
      </c>
      <c r="I254">
        <v>1</v>
      </c>
      <c r="J254" t="s">
        <v>67</v>
      </c>
      <c r="L254" t="s">
        <v>69</v>
      </c>
      <c r="P254" t="s">
        <v>91</v>
      </c>
      <c r="Q254" t="s">
        <v>98</v>
      </c>
      <c r="R254" t="s">
        <v>94</v>
      </c>
      <c r="S254" t="s">
        <v>72</v>
      </c>
      <c r="T254" t="s">
        <v>99</v>
      </c>
      <c r="U254" t="s">
        <v>74</v>
      </c>
      <c r="V254" t="s">
        <v>75</v>
      </c>
      <c r="X254" t="s">
        <v>77</v>
      </c>
      <c r="Z254" t="str">
        <f>_xlfn.TEXTJOIN(",",TRUE,Table1[[#This Row],[Col5]],Table1[[#This Row],[Col4]],Table1[[#This Row],[Col3]],Table1[[#This Row],[Col2]],Table1[[#This Row],[Col1]])</f>
        <v xml:space="preserve"> Personal Care, Snacks and Beverages,Groceries</v>
      </c>
      <c r="AA254" t="s">
        <v>80</v>
      </c>
      <c r="AB254" t="s">
        <v>80</v>
      </c>
      <c r="AC254" t="s">
        <v>78</v>
      </c>
      <c r="AD254" t="s">
        <v>78</v>
      </c>
      <c r="AE254" t="s">
        <v>78</v>
      </c>
      <c r="AF254" t="s">
        <v>81</v>
      </c>
      <c r="AG254" t="s">
        <v>80</v>
      </c>
      <c r="AH254" t="s">
        <v>79</v>
      </c>
      <c r="AI254" t="s">
        <v>78</v>
      </c>
      <c r="AJ254" t="s">
        <v>78</v>
      </c>
      <c r="AK254">
        <v>4</v>
      </c>
      <c r="AL254">
        <v>5</v>
      </c>
      <c r="AM254">
        <v>4</v>
      </c>
      <c r="AN254" t="s">
        <v>128</v>
      </c>
    </row>
    <row r="255" spans="1:40" x14ac:dyDescent="0.35">
      <c r="A255">
        <v>32</v>
      </c>
      <c r="B255" t="str" cm="1">
        <f t="array" ref="B255">_xlfn.IFS(A255&lt;=25,"18-25",A255&lt;=33,"26-33",A255&lt;=41,"34-41",A255&lt;=49,"42-49",A255&gt;49,"50 or above")</f>
        <v>26-33</v>
      </c>
      <c r="C255" t="s">
        <v>62</v>
      </c>
      <c r="D255" t="s">
        <v>105</v>
      </c>
      <c r="E255" t="s">
        <v>86</v>
      </c>
      <c r="F255" t="s">
        <v>90</v>
      </c>
      <c r="G255" t="s">
        <v>66</v>
      </c>
      <c r="H255" t="s">
        <v>66</v>
      </c>
      <c r="I255">
        <v>1</v>
      </c>
      <c r="J255" t="s">
        <v>67</v>
      </c>
      <c r="L255" t="s">
        <v>69</v>
      </c>
      <c r="P255" t="s">
        <v>91</v>
      </c>
      <c r="Q255" t="s">
        <v>98</v>
      </c>
      <c r="R255" t="s">
        <v>71</v>
      </c>
      <c r="S255" t="s">
        <v>113</v>
      </c>
      <c r="T255" t="s">
        <v>73</v>
      </c>
      <c r="U255" t="s">
        <v>74</v>
      </c>
      <c r="Z255" t="str">
        <f>_xlfn.TEXTJOIN(",",TRUE,Table1[[#This Row],[Col5]],Table1[[#This Row],[Col4]],Table1[[#This Row],[Col3]],Table1[[#This Row],[Col2]],Table1[[#This Row],[Col1]])</f>
        <v>Groceries</v>
      </c>
      <c r="AA255" t="s">
        <v>80</v>
      </c>
      <c r="AB255" t="s">
        <v>78</v>
      </c>
      <c r="AC255" t="s">
        <v>80</v>
      </c>
      <c r="AD255" t="s">
        <v>78</v>
      </c>
      <c r="AE255" t="s">
        <v>80</v>
      </c>
      <c r="AF255" t="s">
        <v>81</v>
      </c>
      <c r="AG255" t="s">
        <v>78</v>
      </c>
      <c r="AH255" t="s">
        <v>80</v>
      </c>
      <c r="AI255" t="s">
        <v>78</v>
      </c>
      <c r="AJ255" t="s">
        <v>80</v>
      </c>
      <c r="AK255">
        <v>3</v>
      </c>
      <c r="AL255">
        <v>3</v>
      </c>
      <c r="AM255">
        <v>3</v>
      </c>
      <c r="AN255" t="s">
        <v>133</v>
      </c>
    </row>
    <row r="256" spans="1:40" x14ac:dyDescent="0.35">
      <c r="A256">
        <v>34</v>
      </c>
      <c r="B256" t="str" cm="1">
        <f t="array" ref="B256">_xlfn.IFS(A256&lt;=25,"18-25",A256&lt;=33,"26-33",A256&lt;=41,"34-41",A256&lt;=49,"42-49",A256&gt;49,"50 or above")</f>
        <v>34-41</v>
      </c>
      <c r="C256" t="s">
        <v>62</v>
      </c>
      <c r="D256" t="s">
        <v>105</v>
      </c>
      <c r="E256" t="s">
        <v>109</v>
      </c>
      <c r="F256" t="s">
        <v>87</v>
      </c>
      <c r="G256" t="s">
        <v>66</v>
      </c>
      <c r="H256" t="s">
        <v>66</v>
      </c>
      <c r="I256">
        <v>1</v>
      </c>
      <c r="J256" t="s">
        <v>67</v>
      </c>
      <c r="K256" t="s">
        <v>68</v>
      </c>
      <c r="L256" t="s">
        <v>69</v>
      </c>
      <c r="P256" t="s">
        <v>91</v>
      </c>
      <c r="Q256" t="s">
        <v>98</v>
      </c>
      <c r="R256" t="s">
        <v>92</v>
      </c>
      <c r="S256" t="s">
        <v>72</v>
      </c>
      <c r="T256" t="s">
        <v>73</v>
      </c>
      <c r="V256" t="s">
        <v>96</v>
      </c>
      <c r="W256" t="s">
        <v>76</v>
      </c>
      <c r="Y256" t="s">
        <v>108</v>
      </c>
      <c r="Z256" t="str">
        <f>_xlfn.TEXTJOIN(",",TRUE,Table1[[#This Row],[Col5]],Table1[[#This Row],[Col4]],Table1[[#This Row],[Col3]],Table1[[#This Row],[Col2]],Table1[[#This Row],[Col1]])</f>
        <v xml:space="preserve"> Medicines, Daily Essentials,Snacks and Beverages</v>
      </c>
      <c r="AA256" t="s">
        <v>78</v>
      </c>
      <c r="AB256" t="s">
        <v>80</v>
      </c>
      <c r="AC256" t="s">
        <v>80</v>
      </c>
      <c r="AD256" t="s">
        <v>78</v>
      </c>
      <c r="AE256" t="s">
        <v>80</v>
      </c>
      <c r="AF256" t="s">
        <v>78</v>
      </c>
      <c r="AG256" t="s">
        <v>80</v>
      </c>
      <c r="AH256" t="s">
        <v>80</v>
      </c>
      <c r="AI256" t="s">
        <v>80</v>
      </c>
      <c r="AJ256" t="s">
        <v>80</v>
      </c>
      <c r="AK256">
        <v>3</v>
      </c>
      <c r="AL256">
        <v>3</v>
      </c>
      <c r="AM256">
        <v>3</v>
      </c>
      <c r="AN256" t="s">
        <v>133</v>
      </c>
    </row>
    <row r="257" spans="1:60" x14ac:dyDescent="0.35">
      <c r="A257">
        <v>35</v>
      </c>
      <c r="B257" t="str" cm="1">
        <f t="array" ref="B257">_xlfn.IFS(A257&lt;=25,"18-25",A257&lt;=33,"26-33",A257&lt;=41,"34-41",A257&lt;=49,"42-49",A257&gt;49,"50 or above")</f>
        <v>34-41</v>
      </c>
      <c r="C257" t="s">
        <v>62</v>
      </c>
      <c r="D257" t="s">
        <v>63</v>
      </c>
      <c r="E257" t="s">
        <v>109</v>
      </c>
      <c r="F257" t="s">
        <v>87</v>
      </c>
      <c r="G257" t="s">
        <v>66</v>
      </c>
      <c r="H257" t="s">
        <v>66</v>
      </c>
      <c r="I257">
        <v>1</v>
      </c>
      <c r="J257" t="s">
        <v>67</v>
      </c>
      <c r="K257" t="s">
        <v>68</v>
      </c>
      <c r="L257" t="s">
        <v>69</v>
      </c>
      <c r="P257" t="s">
        <v>67</v>
      </c>
      <c r="Q257" t="s">
        <v>98</v>
      </c>
      <c r="R257" t="s">
        <v>71</v>
      </c>
      <c r="S257" t="s">
        <v>72</v>
      </c>
      <c r="T257" t="s">
        <v>112</v>
      </c>
      <c r="U257" t="s">
        <v>74</v>
      </c>
      <c r="Y257" t="s">
        <v>108</v>
      </c>
      <c r="Z257" t="str">
        <f>_xlfn.TEXTJOIN(",",TRUE,Table1[[#This Row],[Col5]],Table1[[#This Row],[Col4]],Table1[[#This Row],[Col3]],Table1[[#This Row],[Col2]],Table1[[#This Row],[Col1]])</f>
        <v xml:space="preserve"> Medicines,Groceries</v>
      </c>
      <c r="AA257" t="s">
        <v>80</v>
      </c>
      <c r="AB257" t="s">
        <v>78</v>
      </c>
      <c r="AC257" t="s">
        <v>80</v>
      </c>
      <c r="AD257" t="s">
        <v>80</v>
      </c>
      <c r="AE257" t="s">
        <v>80</v>
      </c>
      <c r="AF257" t="s">
        <v>78</v>
      </c>
      <c r="AG257" t="s">
        <v>80</v>
      </c>
      <c r="AH257" t="s">
        <v>80</v>
      </c>
      <c r="AI257" t="s">
        <v>80</v>
      </c>
      <c r="AJ257" t="s">
        <v>80</v>
      </c>
      <c r="AK257">
        <v>4</v>
      </c>
      <c r="AL257">
        <v>4</v>
      </c>
      <c r="AM257">
        <v>4</v>
      </c>
      <c r="AN257" t="s">
        <v>133</v>
      </c>
    </row>
    <row r="258" spans="1:60" x14ac:dyDescent="0.35">
      <c r="A258">
        <v>34</v>
      </c>
      <c r="B258" t="str" cm="1">
        <f t="array" ref="B258">_xlfn.IFS(A258&lt;=25,"18-25",A258&lt;=33,"26-33",A258&lt;=41,"34-41",A258&lt;=49,"42-49",A258&gt;49,"50 or above")</f>
        <v>34-41</v>
      </c>
      <c r="C258" t="s">
        <v>62</v>
      </c>
      <c r="D258" t="s">
        <v>105</v>
      </c>
      <c r="E258" t="s">
        <v>109</v>
      </c>
      <c r="F258" t="s">
        <v>87</v>
      </c>
      <c r="G258" t="s">
        <v>66</v>
      </c>
      <c r="H258" t="s">
        <v>66</v>
      </c>
      <c r="I258">
        <v>1</v>
      </c>
      <c r="J258" t="s">
        <v>67</v>
      </c>
      <c r="K258" t="s">
        <v>68</v>
      </c>
      <c r="L258" t="s">
        <v>69</v>
      </c>
      <c r="P258" t="s">
        <v>67</v>
      </c>
      <c r="Q258" t="s">
        <v>70</v>
      </c>
      <c r="R258" t="s">
        <v>71</v>
      </c>
      <c r="S258" t="s">
        <v>95</v>
      </c>
      <c r="T258" t="s">
        <v>99</v>
      </c>
      <c r="U258" t="s">
        <v>74</v>
      </c>
      <c r="V258" t="s">
        <v>75</v>
      </c>
      <c r="W258" t="s">
        <v>76</v>
      </c>
      <c r="X258" t="s">
        <v>77</v>
      </c>
      <c r="Y258" t="s">
        <v>108</v>
      </c>
      <c r="Z258" t="str">
        <f>_xlfn.TEXTJOIN(",",TRUE,Table1[[#This Row],[Col5]],Table1[[#This Row],[Col4]],Table1[[#This Row],[Col3]],Table1[[#This Row],[Col2]],Table1[[#This Row],[Col1]])</f>
        <v xml:space="preserve"> Medicines, Personal Care, Daily Essentials, Snacks and Beverages,Groceries</v>
      </c>
      <c r="AA258" t="s">
        <v>81</v>
      </c>
      <c r="AB258" t="s">
        <v>81</v>
      </c>
      <c r="AC258" t="s">
        <v>80</v>
      </c>
      <c r="AD258" t="s">
        <v>81</v>
      </c>
      <c r="AE258" t="s">
        <v>81</v>
      </c>
      <c r="AF258" t="s">
        <v>80</v>
      </c>
      <c r="AG258" t="s">
        <v>81</v>
      </c>
      <c r="AH258" t="s">
        <v>81</v>
      </c>
      <c r="AI258" t="s">
        <v>81</v>
      </c>
      <c r="AJ258" t="s">
        <v>81</v>
      </c>
      <c r="AK258">
        <v>3</v>
      </c>
      <c r="AL258">
        <v>3</v>
      </c>
      <c r="AM258">
        <v>3</v>
      </c>
      <c r="AN258" t="s">
        <v>82</v>
      </c>
    </row>
    <row r="259" spans="1:60" x14ac:dyDescent="0.35">
      <c r="A259">
        <v>29</v>
      </c>
      <c r="B259" t="str" cm="1">
        <f t="array" ref="B259">_xlfn.IFS(A259&lt;=25,"18-25",A259&lt;=33,"26-33",A259&lt;=41,"34-41",A259&lt;=49,"42-49",A259&gt;49,"50 or above")</f>
        <v>26-33</v>
      </c>
      <c r="C259" t="s">
        <v>62</v>
      </c>
      <c r="D259" t="s">
        <v>116</v>
      </c>
      <c r="E259" t="s">
        <v>109</v>
      </c>
      <c r="F259" t="s">
        <v>87</v>
      </c>
      <c r="G259" t="s">
        <v>66</v>
      </c>
      <c r="H259" t="s">
        <v>66</v>
      </c>
      <c r="I259">
        <v>1</v>
      </c>
      <c r="J259" t="s">
        <v>67</v>
      </c>
      <c r="K259" t="s">
        <v>68</v>
      </c>
      <c r="L259" t="s">
        <v>69</v>
      </c>
      <c r="P259" t="s">
        <v>91</v>
      </c>
      <c r="Q259" t="s">
        <v>98</v>
      </c>
      <c r="R259" t="s">
        <v>71</v>
      </c>
      <c r="S259" t="s">
        <v>130</v>
      </c>
      <c r="T259" t="s">
        <v>73</v>
      </c>
      <c r="U259" t="s">
        <v>74</v>
      </c>
      <c r="V259" t="s">
        <v>75</v>
      </c>
      <c r="W259" t="s">
        <v>76</v>
      </c>
      <c r="X259" t="s">
        <v>77</v>
      </c>
      <c r="Y259" t="s">
        <v>108</v>
      </c>
      <c r="Z259" t="str">
        <f>_xlfn.TEXTJOIN(",",TRUE,Table1[[#This Row],[Col5]],Table1[[#This Row],[Col4]],Table1[[#This Row],[Col3]],Table1[[#This Row],[Col2]],Table1[[#This Row],[Col1]])</f>
        <v xml:space="preserve"> Medicines, Personal Care, Daily Essentials, Snacks and Beverages,Groceries</v>
      </c>
      <c r="AA259" t="s">
        <v>81</v>
      </c>
      <c r="AB259" t="s">
        <v>81</v>
      </c>
      <c r="AC259" t="s">
        <v>81</v>
      </c>
      <c r="AD259" t="s">
        <v>81</v>
      </c>
      <c r="AE259" t="s">
        <v>79</v>
      </c>
      <c r="AF259" t="s">
        <v>81</v>
      </c>
      <c r="AG259" t="s">
        <v>79</v>
      </c>
      <c r="AH259" t="s">
        <v>79</v>
      </c>
      <c r="AI259" t="s">
        <v>79</v>
      </c>
      <c r="AJ259" t="s">
        <v>80</v>
      </c>
      <c r="AK259">
        <v>2</v>
      </c>
      <c r="AL259">
        <v>2</v>
      </c>
      <c r="AM259">
        <v>2</v>
      </c>
      <c r="AN259" t="s">
        <v>115</v>
      </c>
    </row>
    <row r="260" spans="1:60" x14ac:dyDescent="0.35">
      <c r="A260">
        <v>29</v>
      </c>
      <c r="B260" t="str" cm="1">
        <f t="array" ref="B260">_xlfn.IFS(A260&lt;=25,"18-25",A260&lt;=33,"26-33",A260&lt;=41,"34-41",A260&lt;=49,"42-49",A260&gt;49,"50 or above")</f>
        <v>26-33</v>
      </c>
      <c r="C260" t="s">
        <v>62</v>
      </c>
      <c r="D260" t="s">
        <v>105</v>
      </c>
      <c r="E260" t="s">
        <v>86</v>
      </c>
      <c r="F260" t="s">
        <v>65</v>
      </c>
      <c r="G260" t="s">
        <v>66</v>
      </c>
      <c r="H260" t="s">
        <v>66</v>
      </c>
      <c r="I260">
        <v>1</v>
      </c>
      <c r="J260" t="s">
        <v>67</v>
      </c>
      <c r="L260" t="s">
        <v>69</v>
      </c>
      <c r="P260" t="s">
        <v>91</v>
      </c>
      <c r="Q260" t="s">
        <v>70</v>
      </c>
      <c r="R260" t="s">
        <v>110</v>
      </c>
      <c r="S260" t="s">
        <v>95</v>
      </c>
      <c r="T260" t="s">
        <v>140</v>
      </c>
      <c r="U260" t="s">
        <v>74</v>
      </c>
      <c r="V260" t="s">
        <v>75</v>
      </c>
      <c r="W260" t="s">
        <v>76</v>
      </c>
      <c r="X260" t="s">
        <v>77</v>
      </c>
      <c r="Y260" t="s">
        <v>108</v>
      </c>
      <c r="Z260" t="str">
        <f>_xlfn.TEXTJOIN(",",TRUE,Table1[[#This Row],[Col5]],Table1[[#This Row],[Col4]],Table1[[#This Row],[Col3]],Table1[[#This Row],[Col2]],Table1[[#This Row],[Col1]])</f>
        <v xml:space="preserve"> Medicines, Personal Care, Daily Essentials, Snacks and Beverages,Groceries</v>
      </c>
      <c r="AA260" t="s">
        <v>81</v>
      </c>
      <c r="AB260" t="s">
        <v>80</v>
      </c>
      <c r="AC260" t="s">
        <v>80</v>
      </c>
      <c r="AD260" t="s">
        <v>81</v>
      </c>
      <c r="AE260" t="s">
        <v>81</v>
      </c>
      <c r="AF260" t="s">
        <v>81</v>
      </c>
      <c r="AG260" t="s">
        <v>80</v>
      </c>
      <c r="AH260" t="s">
        <v>81</v>
      </c>
      <c r="AI260" t="s">
        <v>80</v>
      </c>
      <c r="AJ260" t="s">
        <v>81</v>
      </c>
      <c r="AK260">
        <v>1</v>
      </c>
      <c r="AL260">
        <v>3</v>
      </c>
      <c r="AM260">
        <v>3</v>
      </c>
      <c r="AN260" t="s">
        <v>115</v>
      </c>
      <c r="AS260" t="s">
        <v>143</v>
      </c>
    </row>
    <row r="261" spans="1:60" x14ac:dyDescent="0.35">
      <c r="A261">
        <v>27</v>
      </c>
      <c r="B261" t="str" cm="1">
        <f t="array" ref="B261">_xlfn.IFS(A261&lt;=25,"18-25",A261&lt;=33,"26-33",A261&lt;=41,"34-41",A261&lt;=49,"42-49",A261&gt;49,"50 or above")</f>
        <v>26-33</v>
      </c>
      <c r="C261" t="s">
        <v>89</v>
      </c>
      <c r="D261" t="s">
        <v>105</v>
      </c>
      <c r="E261" t="s">
        <v>86</v>
      </c>
      <c r="F261" t="s">
        <v>127</v>
      </c>
      <c r="G261" t="s">
        <v>66</v>
      </c>
      <c r="H261" t="s">
        <v>88</v>
      </c>
      <c r="I261">
        <v>0</v>
      </c>
      <c r="Z261" t="str">
        <f>_xlfn.TEXTJOIN(",",TRUE,Table1[[#This Row],[Col5]],Table1[[#This Row],[Col4]],Table1[[#This Row],[Col3]],Table1[[#This Row],[Col2]],Table1[[#This Row],[Col1]])</f>
        <v/>
      </c>
      <c r="AY261" t="s">
        <v>88</v>
      </c>
      <c r="AZ261" t="s">
        <v>88</v>
      </c>
      <c r="BA261" t="s">
        <v>66</v>
      </c>
      <c r="BB261" t="s">
        <v>79</v>
      </c>
      <c r="BC261" t="s">
        <v>79</v>
      </c>
      <c r="BD261" t="s">
        <v>101</v>
      </c>
      <c r="BE261" t="s">
        <v>101</v>
      </c>
      <c r="BF261" t="s">
        <v>101</v>
      </c>
      <c r="BG261" t="s">
        <v>101</v>
      </c>
      <c r="BH261" t="s">
        <v>80</v>
      </c>
    </row>
    <row r="262" spans="1:60" x14ac:dyDescent="0.35">
      <c r="A262">
        <v>53</v>
      </c>
      <c r="B262" t="str" cm="1">
        <f t="array" ref="B262">_xlfn.IFS(A262&lt;=25,"18-25",A262&lt;=33,"26-33",A262&lt;=41,"34-41",A262&lt;=49,"42-49",A262&gt;49,"50 or above")</f>
        <v>50 or above</v>
      </c>
      <c r="C262" t="s">
        <v>89</v>
      </c>
      <c r="D262" t="s">
        <v>120</v>
      </c>
      <c r="E262" t="s">
        <v>109</v>
      </c>
      <c r="F262" t="s">
        <v>87</v>
      </c>
      <c r="G262" t="s">
        <v>66</v>
      </c>
      <c r="H262" t="s">
        <v>66</v>
      </c>
      <c r="I262">
        <v>1</v>
      </c>
      <c r="J262" t="s">
        <v>67</v>
      </c>
      <c r="P262" t="s">
        <v>67</v>
      </c>
      <c r="Q262" t="s">
        <v>98</v>
      </c>
      <c r="R262" t="s">
        <v>92</v>
      </c>
      <c r="S262" t="s">
        <v>72</v>
      </c>
      <c r="T262" t="s">
        <v>99</v>
      </c>
      <c r="U262" t="s">
        <v>74</v>
      </c>
      <c r="W262" t="s">
        <v>76</v>
      </c>
      <c r="Z262" t="str">
        <f>_xlfn.TEXTJOIN(",",TRUE,Table1[[#This Row],[Col5]],Table1[[#This Row],[Col4]],Table1[[#This Row],[Col3]],Table1[[#This Row],[Col2]],Table1[[#This Row],[Col1]])</f>
        <v xml:space="preserve"> Daily Essentials,Groceries</v>
      </c>
      <c r="AA262" t="s">
        <v>81</v>
      </c>
      <c r="AB262" t="s">
        <v>80</v>
      </c>
      <c r="AC262" t="s">
        <v>81</v>
      </c>
      <c r="AD262" t="s">
        <v>81</v>
      </c>
      <c r="AE262" t="s">
        <v>80</v>
      </c>
      <c r="AF262" t="s">
        <v>81</v>
      </c>
      <c r="AG262" t="s">
        <v>78</v>
      </c>
      <c r="AH262" t="s">
        <v>81</v>
      </c>
      <c r="AI262" t="s">
        <v>81</v>
      </c>
      <c r="AJ262" t="s">
        <v>80</v>
      </c>
      <c r="AK262">
        <v>3</v>
      </c>
      <c r="AL262">
        <v>4</v>
      </c>
      <c r="AM262">
        <v>4</v>
      </c>
      <c r="AN262" t="s">
        <v>128</v>
      </c>
    </row>
    <row r="263" spans="1:60" x14ac:dyDescent="0.35">
      <c r="A263">
        <v>35</v>
      </c>
      <c r="B263" t="str" cm="1">
        <f t="array" ref="B263">_xlfn.IFS(A263&lt;=25,"18-25",A263&lt;=33,"26-33",A263&lt;=41,"34-41",A263&lt;=49,"42-49",A263&gt;49,"50 or above")</f>
        <v>34-41</v>
      </c>
      <c r="C263" t="s">
        <v>89</v>
      </c>
      <c r="D263" t="s">
        <v>63</v>
      </c>
      <c r="E263" t="s">
        <v>86</v>
      </c>
      <c r="F263" t="s">
        <v>90</v>
      </c>
      <c r="G263" t="s">
        <v>66</v>
      </c>
      <c r="H263" t="s">
        <v>66</v>
      </c>
      <c r="I263">
        <v>1</v>
      </c>
      <c r="J263" t="s">
        <v>67</v>
      </c>
      <c r="K263" t="s">
        <v>68</v>
      </c>
      <c r="L263" t="s">
        <v>69</v>
      </c>
      <c r="P263" t="s">
        <v>67</v>
      </c>
      <c r="Q263" t="s">
        <v>117</v>
      </c>
      <c r="R263" t="s">
        <v>92</v>
      </c>
      <c r="S263" t="s">
        <v>95</v>
      </c>
      <c r="T263" t="s">
        <v>99</v>
      </c>
      <c r="V263" t="s">
        <v>96</v>
      </c>
      <c r="W263" t="s">
        <v>76</v>
      </c>
      <c r="X263" t="s">
        <v>77</v>
      </c>
      <c r="Z263" t="str">
        <f>_xlfn.TEXTJOIN(",",TRUE,Table1[[#This Row],[Col5]],Table1[[#This Row],[Col4]],Table1[[#This Row],[Col3]],Table1[[#This Row],[Col2]],Table1[[#This Row],[Col1]])</f>
        <v xml:space="preserve"> Personal Care, Daily Essentials,Snacks and Beverages</v>
      </c>
      <c r="AA263" t="s">
        <v>80</v>
      </c>
      <c r="AB263" t="s">
        <v>78</v>
      </c>
      <c r="AC263" t="s">
        <v>80</v>
      </c>
      <c r="AD263" t="s">
        <v>80</v>
      </c>
      <c r="AE263" t="s">
        <v>80</v>
      </c>
      <c r="AF263" t="s">
        <v>80</v>
      </c>
      <c r="AG263" t="s">
        <v>80</v>
      </c>
      <c r="AH263" t="s">
        <v>78</v>
      </c>
      <c r="AI263" t="s">
        <v>81</v>
      </c>
      <c r="AJ263" t="s">
        <v>78</v>
      </c>
      <c r="AK263">
        <v>3</v>
      </c>
      <c r="AL263">
        <v>4</v>
      </c>
      <c r="AM263">
        <v>5</v>
      </c>
      <c r="AN263" t="s">
        <v>104</v>
      </c>
    </row>
    <row r="264" spans="1:60" x14ac:dyDescent="0.35">
      <c r="A264">
        <v>50</v>
      </c>
      <c r="B264" t="str" cm="1">
        <f t="array" ref="B264">_xlfn.IFS(A264&lt;=25,"18-25",A264&lt;=33,"26-33",A264&lt;=41,"34-41",A264&lt;=49,"42-49",A264&gt;49,"50 or above")</f>
        <v>50 or above</v>
      </c>
      <c r="C264" t="s">
        <v>89</v>
      </c>
      <c r="D264" t="s">
        <v>105</v>
      </c>
      <c r="E264" t="s">
        <v>109</v>
      </c>
      <c r="F264" t="s">
        <v>90</v>
      </c>
      <c r="G264" t="s">
        <v>66</v>
      </c>
      <c r="H264" t="s">
        <v>66</v>
      </c>
      <c r="I264">
        <v>1</v>
      </c>
      <c r="J264" t="s">
        <v>67</v>
      </c>
      <c r="L264" t="s">
        <v>69</v>
      </c>
      <c r="P264" t="s">
        <v>91</v>
      </c>
      <c r="Q264" t="s">
        <v>70</v>
      </c>
      <c r="R264" t="s">
        <v>92</v>
      </c>
      <c r="S264" t="s">
        <v>72</v>
      </c>
      <c r="T264" t="s">
        <v>73</v>
      </c>
      <c r="V264" t="s">
        <v>96</v>
      </c>
      <c r="W264" t="s">
        <v>76</v>
      </c>
      <c r="Z264" t="str">
        <f>_xlfn.TEXTJOIN(",",TRUE,Table1[[#This Row],[Col5]],Table1[[#This Row],[Col4]],Table1[[#This Row],[Col3]],Table1[[#This Row],[Col2]],Table1[[#This Row],[Col1]])</f>
        <v xml:space="preserve"> Daily Essentials,Snacks and Beverages</v>
      </c>
      <c r="AA264" t="s">
        <v>78</v>
      </c>
      <c r="AB264" t="s">
        <v>78</v>
      </c>
      <c r="AC264" t="s">
        <v>79</v>
      </c>
      <c r="AD264" t="s">
        <v>81</v>
      </c>
      <c r="AE264" t="s">
        <v>79</v>
      </c>
      <c r="AF264" t="s">
        <v>80</v>
      </c>
      <c r="AG264" t="s">
        <v>80</v>
      </c>
      <c r="AH264" t="s">
        <v>78</v>
      </c>
      <c r="AI264" t="s">
        <v>78</v>
      </c>
      <c r="AJ264" t="s">
        <v>78</v>
      </c>
      <c r="AK264">
        <v>5</v>
      </c>
      <c r="AL264">
        <v>3</v>
      </c>
      <c r="AM264">
        <v>5</v>
      </c>
      <c r="AN264" t="s">
        <v>104</v>
      </c>
    </row>
    <row r="265" spans="1:60" x14ac:dyDescent="0.35">
      <c r="A265">
        <v>26</v>
      </c>
      <c r="B265" t="str" cm="1">
        <f t="array" ref="B265">_xlfn.IFS(A265&lt;=25,"18-25",A265&lt;=33,"26-33",A265&lt;=41,"34-41",A265&lt;=49,"42-49",A265&gt;49,"50 or above")</f>
        <v>26-33</v>
      </c>
      <c r="C265" t="s">
        <v>89</v>
      </c>
      <c r="D265" t="s">
        <v>105</v>
      </c>
      <c r="E265" t="s">
        <v>121</v>
      </c>
      <c r="F265" t="s">
        <v>65</v>
      </c>
      <c r="G265" t="s">
        <v>66</v>
      </c>
      <c r="H265" t="s">
        <v>66</v>
      </c>
      <c r="I265">
        <v>1</v>
      </c>
      <c r="J265" t="s">
        <v>67</v>
      </c>
      <c r="K265" t="s">
        <v>68</v>
      </c>
      <c r="L265" t="s">
        <v>69</v>
      </c>
      <c r="P265" t="s">
        <v>67</v>
      </c>
      <c r="Q265" t="s">
        <v>70</v>
      </c>
      <c r="R265" t="s">
        <v>92</v>
      </c>
      <c r="S265" t="s">
        <v>72</v>
      </c>
      <c r="T265" t="s">
        <v>99</v>
      </c>
      <c r="U265" t="s">
        <v>74</v>
      </c>
      <c r="V265" t="s">
        <v>75</v>
      </c>
      <c r="W265" t="s">
        <v>76</v>
      </c>
      <c r="X265" t="s">
        <v>77</v>
      </c>
      <c r="Z265" t="str">
        <f>_xlfn.TEXTJOIN(",",TRUE,Table1[[#This Row],[Col5]],Table1[[#This Row],[Col4]],Table1[[#This Row],[Col3]],Table1[[#This Row],[Col2]],Table1[[#This Row],[Col1]])</f>
        <v xml:space="preserve"> Personal Care, Daily Essentials, Snacks and Beverages,Groceries</v>
      </c>
      <c r="AA265" t="s">
        <v>80</v>
      </c>
      <c r="AB265" t="s">
        <v>81</v>
      </c>
      <c r="AC265" t="s">
        <v>78</v>
      </c>
      <c r="AD265" t="s">
        <v>80</v>
      </c>
      <c r="AE265" t="s">
        <v>80</v>
      </c>
      <c r="AF265" t="s">
        <v>80</v>
      </c>
      <c r="AG265" t="s">
        <v>80</v>
      </c>
      <c r="AH265" t="s">
        <v>78</v>
      </c>
      <c r="AI265" t="s">
        <v>80</v>
      </c>
      <c r="AJ265" t="s">
        <v>78</v>
      </c>
      <c r="AK265">
        <v>5</v>
      </c>
      <c r="AL265">
        <v>3</v>
      </c>
      <c r="AM265">
        <v>4</v>
      </c>
      <c r="AN265" t="s">
        <v>82</v>
      </c>
    </row>
    <row r="266" spans="1:60" x14ac:dyDescent="0.35">
      <c r="A266">
        <v>30</v>
      </c>
      <c r="B266" t="str" cm="1">
        <f t="array" ref="B266">_xlfn.IFS(A266&lt;=25,"18-25",A266&lt;=33,"26-33",A266&lt;=41,"34-41",A266&lt;=49,"42-49",A266&gt;49,"50 or above")</f>
        <v>26-33</v>
      </c>
      <c r="C266" t="s">
        <v>89</v>
      </c>
      <c r="D266" t="s">
        <v>63</v>
      </c>
      <c r="E266" t="s">
        <v>86</v>
      </c>
      <c r="F266" t="s">
        <v>87</v>
      </c>
      <c r="G266" t="s">
        <v>66</v>
      </c>
      <c r="H266" t="s">
        <v>66</v>
      </c>
      <c r="I266">
        <v>1</v>
      </c>
      <c r="J266" t="s">
        <v>67</v>
      </c>
      <c r="P266" t="s">
        <v>67</v>
      </c>
      <c r="Q266" t="s">
        <v>70</v>
      </c>
      <c r="R266" t="s">
        <v>92</v>
      </c>
      <c r="S266" t="s">
        <v>72</v>
      </c>
      <c r="T266" t="s">
        <v>73</v>
      </c>
      <c r="U266" t="s">
        <v>74</v>
      </c>
      <c r="Z266" t="str">
        <f>_xlfn.TEXTJOIN(",",TRUE,Table1[[#This Row],[Col5]],Table1[[#This Row],[Col4]],Table1[[#This Row],[Col3]],Table1[[#This Row],[Col2]],Table1[[#This Row],[Col1]])</f>
        <v>Groceries</v>
      </c>
      <c r="AA266" t="s">
        <v>81</v>
      </c>
      <c r="AB266" t="s">
        <v>80</v>
      </c>
      <c r="AC266" t="s">
        <v>80</v>
      </c>
      <c r="AD266" t="s">
        <v>79</v>
      </c>
      <c r="AE266" t="s">
        <v>78</v>
      </c>
      <c r="AF266" t="s">
        <v>79</v>
      </c>
      <c r="AG266" t="s">
        <v>80</v>
      </c>
      <c r="AH266" t="s">
        <v>80</v>
      </c>
      <c r="AI266" t="s">
        <v>81</v>
      </c>
      <c r="AJ266" t="s">
        <v>80</v>
      </c>
      <c r="AK266">
        <v>3</v>
      </c>
      <c r="AL266">
        <v>4</v>
      </c>
      <c r="AM266">
        <v>4</v>
      </c>
      <c r="AN266" t="s">
        <v>115</v>
      </c>
    </row>
    <row r="267" spans="1:60" x14ac:dyDescent="0.35">
      <c r="A267">
        <v>29</v>
      </c>
      <c r="B267" t="str" cm="1">
        <f t="array" ref="B267">_xlfn.IFS(A267&lt;=25,"18-25",A267&lt;=33,"26-33",A267&lt;=41,"34-41",A267&lt;=49,"42-49",A267&gt;49,"50 or above")</f>
        <v>26-33</v>
      </c>
      <c r="C267" t="s">
        <v>89</v>
      </c>
      <c r="D267" t="s">
        <v>63</v>
      </c>
      <c r="E267" t="s">
        <v>109</v>
      </c>
      <c r="F267" t="s">
        <v>127</v>
      </c>
      <c r="G267" t="s">
        <v>66</v>
      </c>
      <c r="H267" t="s">
        <v>66</v>
      </c>
      <c r="I267">
        <v>1</v>
      </c>
      <c r="J267" t="s">
        <v>67</v>
      </c>
      <c r="K267" t="s">
        <v>68</v>
      </c>
      <c r="L267" t="s">
        <v>69</v>
      </c>
      <c r="P267" t="s">
        <v>93</v>
      </c>
      <c r="Q267" t="s">
        <v>103</v>
      </c>
      <c r="R267" t="s">
        <v>94</v>
      </c>
      <c r="S267" t="s">
        <v>72</v>
      </c>
      <c r="T267" t="s">
        <v>99</v>
      </c>
      <c r="V267" t="s">
        <v>96</v>
      </c>
      <c r="W267" t="s">
        <v>76</v>
      </c>
      <c r="Z267" t="str">
        <f>_xlfn.TEXTJOIN(",",TRUE,Table1[[#This Row],[Col5]],Table1[[#This Row],[Col4]],Table1[[#This Row],[Col3]],Table1[[#This Row],[Col2]],Table1[[#This Row],[Col1]])</f>
        <v xml:space="preserve"> Daily Essentials,Snacks and Beverages</v>
      </c>
      <c r="AA267" t="s">
        <v>80</v>
      </c>
      <c r="AB267" t="s">
        <v>81</v>
      </c>
      <c r="AC267" t="s">
        <v>80</v>
      </c>
      <c r="AD267" t="s">
        <v>78</v>
      </c>
      <c r="AE267" t="s">
        <v>81</v>
      </c>
      <c r="AF267" t="s">
        <v>78</v>
      </c>
      <c r="AG267" t="s">
        <v>80</v>
      </c>
      <c r="AH267" t="s">
        <v>78</v>
      </c>
      <c r="AI267" t="s">
        <v>80</v>
      </c>
      <c r="AJ267" t="s">
        <v>81</v>
      </c>
      <c r="AK267">
        <v>5</v>
      </c>
      <c r="AL267">
        <v>4</v>
      </c>
      <c r="AM267">
        <v>5</v>
      </c>
      <c r="AN267" t="s">
        <v>104</v>
      </c>
    </row>
    <row r="268" spans="1:60" x14ac:dyDescent="0.35">
      <c r="A268">
        <v>29</v>
      </c>
      <c r="B268" t="str" cm="1">
        <f t="array" ref="B268">_xlfn.IFS(A268&lt;=25,"18-25",A268&lt;=33,"26-33",A268&lt;=41,"34-41",A268&lt;=49,"42-49",A268&gt;49,"50 or above")</f>
        <v>26-33</v>
      </c>
      <c r="C268" t="s">
        <v>89</v>
      </c>
      <c r="D268" t="s">
        <v>63</v>
      </c>
      <c r="E268" t="s">
        <v>86</v>
      </c>
      <c r="F268" t="s">
        <v>65</v>
      </c>
      <c r="G268" t="s">
        <v>66</v>
      </c>
      <c r="H268" t="s">
        <v>66</v>
      </c>
      <c r="I268">
        <v>1</v>
      </c>
      <c r="J268" t="s">
        <v>67</v>
      </c>
      <c r="K268" t="s">
        <v>68</v>
      </c>
      <c r="L268" t="s">
        <v>69</v>
      </c>
      <c r="P268" t="s">
        <v>93</v>
      </c>
      <c r="Q268" t="s">
        <v>70</v>
      </c>
      <c r="R268" t="s">
        <v>92</v>
      </c>
      <c r="S268" t="s">
        <v>72</v>
      </c>
      <c r="T268" t="s">
        <v>73</v>
      </c>
      <c r="U268" t="s">
        <v>74</v>
      </c>
      <c r="Y268" t="s">
        <v>108</v>
      </c>
      <c r="Z268" t="str">
        <f>_xlfn.TEXTJOIN(",",TRUE,Table1[[#This Row],[Col5]],Table1[[#This Row],[Col4]],Table1[[#This Row],[Col3]],Table1[[#This Row],[Col2]],Table1[[#This Row],[Col1]])</f>
        <v xml:space="preserve"> Medicines,Groceries</v>
      </c>
      <c r="AA268" t="s">
        <v>78</v>
      </c>
      <c r="AB268" t="s">
        <v>80</v>
      </c>
      <c r="AC268" t="s">
        <v>79</v>
      </c>
      <c r="AD268" t="s">
        <v>80</v>
      </c>
      <c r="AE268" t="s">
        <v>81</v>
      </c>
      <c r="AF268" t="s">
        <v>80</v>
      </c>
      <c r="AG268" t="s">
        <v>79</v>
      </c>
      <c r="AH268" t="s">
        <v>80</v>
      </c>
      <c r="AI268" t="s">
        <v>81</v>
      </c>
      <c r="AJ268" t="s">
        <v>78</v>
      </c>
      <c r="AK268">
        <v>5</v>
      </c>
      <c r="AL268">
        <v>5</v>
      </c>
      <c r="AM268">
        <v>4</v>
      </c>
      <c r="AN268" t="s">
        <v>97</v>
      </c>
    </row>
    <row r="269" spans="1:60" x14ac:dyDescent="0.35">
      <c r="A269">
        <v>31</v>
      </c>
      <c r="B269" t="str" cm="1">
        <f t="array" ref="B269">_xlfn.IFS(A269&lt;=25,"18-25",A269&lt;=33,"26-33",A269&lt;=41,"34-41",A269&lt;=49,"42-49",A269&gt;49,"50 or above")</f>
        <v>26-33</v>
      </c>
      <c r="C269" t="s">
        <v>89</v>
      </c>
      <c r="D269" t="s">
        <v>116</v>
      </c>
      <c r="E269" t="s">
        <v>86</v>
      </c>
      <c r="F269" t="s">
        <v>102</v>
      </c>
      <c r="G269" t="s">
        <v>66</v>
      </c>
      <c r="H269" t="s">
        <v>66</v>
      </c>
      <c r="I269">
        <v>1</v>
      </c>
      <c r="J269" t="s">
        <v>67</v>
      </c>
      <c r="L269" t="s">
        <v>69</v>
      </c>
      <c r="P269" t="s">
        <v>67</v>
      </c>
      <c r="Q269" t="s">
        <v>70</v>
      </c>
      <c r="R269" t="s">
        <v>92</v>
      </c>
      <c r="S269" t="s">
        <v>72</v>
      </c>
      <c r="T269" t="s">
        <v>73</v>
      </c>
      <c r="U269" t="s">
        <v>74</v>
      </c>
      <c r="V269" t="s">
        <v>75</v>
      </c>
      <c r="W269" t="s">
        <v>76</v>
      </c>
      <c r="Z269" t="str">
        <f>_xlfn.TEXTJOIN(",",TRUE,Table1[[#This Row],[Col5]],Table1[[#This Row],[Col4]],Table1[[#This Row],[Col3]],Table1[[#This Row],[Col2]],Table1[[#This Row],[Col1]])</f>
        <v xml:space="preserve"> Daily Essentials, Snacks and Beverages,Groceries</v>
      </c>
      <c r="AA269" t="s">
        <v>78</v>
      </c>
      <c r="AB269" t="s">
        <v>81</v>
      </c>
      <c r="AC269" t="s">
        <v>81</v>
      </c>
      <c r="AD269" t="s">
        <v>81</v>
      </c>
      <c r="AE269" t="s">
        <v>81</v>
      </c>
      <c r="AF269" t="s">
        <v>80</v>
      </c>
      <c r="AG269" t="s">
        <v>78</v>
      </c>
      <c r="AH269" t="s">
        <v>80</v>
      </c>
      <c r="AI269" t="s">
        <v>81</v>
      </c>
      <c r="AJ269" t="s">
        <v>80</v>
      </c>
      <c r="AK269">
        <v>3</v>
      </c>
      <c r="AL269">
        <v>4</v>
      </c>
      <c r="AM269">
        <v>3</v>
      </c>
      <c r="AN269" t="s">
        <v>115</v>
      </c>
    </row>
    <row r="270" spans="1:60" x14ac:dyDescent="0.35">
      <c r="A270">
        <v>20</v>
      </c>
      <c r="B270" t="str" cm="1">
        <f t="array" ref="B270">_xlfn.IFS(A270&lt;=25,"18-25",A270&lt;=33,"26-33",A270&lt;=41,"34-41",A270&lt;=49,"42-49",A270&gt;49,"50 or above")</f>
        <v>18-25</v>
      </c>
      <c r="C270" t="s">
        <v>89</v>
      </c>
      <c r="D270" t="s">
        <v>63</v>
      </c>
      <c r="E270" t="s">
        <v>64</v>
      </c>
      <c r="F270" t="s">
        <v>87</v>
      </c>
      <c r="G270" t="s">
        <v>66</v>
      </c>
      <c r="H270" t="s">
        <v>66</v>
      </c>
      <c r="I270">
        <v>1</v>
      </c>
      <c r="J270" t="s">
        <v>67</v>
      </c>
      <c r="L270" t="s">
        <v>69</v>
      </c>
      <c r="P270" t="s">
        <v>91</v>
      </c>
      <c r="Q270" t="s">
        <v>70</v>
      </c>
      <c r="R270" t="s">
        <v>71</v>
      </c>
      <c r="S270" t="s">
        <v>95</v>
      </c>
      <c r="T270" t="s">
        <v>73</v>
      </c>
      <c r="U270" t="s">
        <v>74</v>
      </c>
      <c r="V270" t="s">
        <v>75</v>
      </c>
      <c r="W270" t="s">
        <v>76</v>
      </c>
      <c r="X270" t="s">
        <v>77</v>
      </c>
      <c r="Z270" t="str">
        <f>_xlfn.TEXTJOIN(",",TRUE,Table1[[#This Row],[Col5]],Table1[[#This Row],[Col4]],Table1[[#This Row],[Col3]],Table1[[#This Row],[Col2]],Table1[[#This Row],[Col1]])</f>
        <v xml:space="preserve"> Personal Care, Daily Essentials, Snacks and Beverages,Groceries</v>
      </c>
      <c r="AA270" t="s">
        <v>80</v>
      </c>
      <c r="AB270" t="s">
        <v>80</v>
      </c>
      <c r="AC270" t="s">
        <v>81</v>
      </c>
      <c r="AD270" t="s">
        <v>78</v>
      </c>
      <c r="AE270" t="s">
        <v>81</v>
      </c>
      <c r="AF270" t="s">
        <v>81</v>
      </c>
      <c r="AG270" t="s">
        <v>79</v>
      </c>
      <c r="AH270" t="s">
        <v>78</v>
      </c>
      <c r="AI270" t="s">
        <v>78</v>
      </c>
      <c r="AJ270" t="s">
        <v>80</v>
      </c>
      <c r="AK270">
        <v>3</v>
      </c>
      <c r="AL270">
        <v>5</v>
      </c>
      <c r="AM270">
        <v>3</v>
      </c>
      <c r="AN270" t="s">
        <v>115</v>
      </c>
    </row>
    <row r="271" spans="1:60" x14ac:dyDescent="0.35">
      <c r="A271">
        <v>45</v>
      </c>
      <c r="B271" t="str" cm="1">
        <f t="array" ref="B271">_xlfn.IFS(A271&lt;=25,"18-25",A271&lt;=33,"26-33",A271&lt;=41,"34-41",A271&lt;=49,"42-49",A271&gt;49,"50 or above")</f>
        <v>42-49</v>
      </c>
      <c r="C271" t="s">
        <v>89</v>
      </c>
      <c r="D271" t="s">
        <v>116</v>
      </c>
      <c r="E271" t="s">
        <v>109</v>
      </c>
      <c r="F271" t="s">
        <v>87</v>
      </c>
      <c r="G271" t="s">
        <v>66</v>
      </c>
      <c r="H271" t="s">
        <v>66</v>
      </c>
      <c r="I271">
        <v>1</v>
      </c>
      <c r="J271" t="s">
        <v>67</v>
      </c>
      <c r="K271" t="s">
        <v>68</v>
      </c>
      <c r="L271" t="s">
        <v>69</v>
      </c>
      <c r="P271" t="s">
        <v>67</v>
      </c>
      <c r="Q271" t="s">
        <v>70</v>
      </c>
      <c r="R271" t="s">
        <v>92</v>
      </c>
      <c r="S271" t="s">
        <v>95</v>
      </c>
      <c r="T271" t="s">
        <v>73</v>
      </c>
      <c r="V271" t="s">
        <v>96</v>
      </c>
      <c r="Z271" t="str">
        <f>_xlfn.TEXTJOIN(",",TRUE,Table1[[#This Row],[Col5]],Table1[[#This Row],[Col4]],Table1[[#This Row],[Col3]],Table1[[#This Row],[Col2]],Table1[[#This Row],[Col1]])</f>
        <v>Snacks and Beverages</v>
      </c>
      <c r="AA271" t="s">
        <v>81</v>
      </c>
      <c r="AB271" t="s">
        <v>80</v>
      </c>
      <c r="AC271" t="s">
        <v>81</v>
      </c>
      <c r="AD271" t="s">
        <v>78</v>
      </c>
      <c r="AE271" t="s">
        <v>78</v>
      </c>
      <c r="AF271" t="s">
        <v>80</v>
      </c>
      <c r="AG271" t="s">
        <v>80</v>
      </c>
      <c r="AH271" t="s">
        <v>81</v>
      </c>
      <c r="AI271" t="s">
        <v>78</v>
      </c>
      <c r="AJ271" t="s">
        <v>78</v>
      </c>
      <c r="AK271">
        <v>3</v>
      </c>
      <c r="AL271">
        <v>5</v>
      </c>
      <c r="AM271">
        <v>5</v>
      </c>
      <c r="AN271" t="s">
        <v>104</v>
      </c>
    </row>
    <row r="272" spans="1:60" x14ac:dyDescent="0.35">
      <c r="A272">
        <v>35</v>
      </c>
      <c r="B272" t="str" cm="1">
        <f t="array" ref="B272">_xlfn.IFS(A272&lt;=25,"18-25",A272&lt;=33,"26-33",A272&lt;=41,"34-41",A272&lt;=49,"42-49",A272&gt;49,"50 or above")</f>
        <v>34-41</v>
      </c>
      <c r="C272" t="s">
        <v>89</v>
      </c>
      <c r="D272" t="s">
        <v>63</v>
      </c>
      <c r="E272" t="s">
        <v>86</v>
      </c>
      <c r="F272" t="s">
        <v>87</v>
      </c>
      <c r="G272" t="s">
        <v>66</v>
      </c>
      <c r="H272" t="s">
        <v>66</v>
      </c>
      <c r="I272">
        <v>1</v>
      </c>
      <c r="J272" t="s">
        <v>67</v>
      </c>
      <c r="P272" t="s">
        <v>67</v>
      </c>
      <c r="Q272" t="s">
        <v>70</v>
      </c>
      <c r="R272" t="s">
        <v>92</v>
      </c>
      <c r="S272" t="s">
        <v>72</v>
      </c>
      <c r="T272" t="s">
        <v>73</v>
      </c>
      <c r="U272" t="s">
        <v>74</v>
      </c>
      <c r="V272" t="s">
        <v>75</v>
      </c>
      <c r="X272" t="s">
        <v>77</v>
      </c>
      <c r="Z272" t="str">
        <f>_xlfn.TEXTJOIN(",",TRUE,Table1[[#This Row],[Col5]],Table1[[#This Row],[Col4]],Table1[[#This Row],[Col3]],Table1[[#This Row],[Col2]],Table1[[#This Row],[Col1]])</f>
        <v xml:space="preserve"> Personal Care, Snacks and Beverages,Groceries</v>
      </c>
      <c r="AA272" t="s">
        <v>80</v>
      </c>
      <c r="AB272" t="s">
        <v>81</v>
      </c>
      <c r="AC272" t="s">
        <v>81</v>
      </c>
      <c r="AD272" t="s">
        <v>81</v>
      </c>
      <c r="AE272" t="s">
        <v>81</v>
      </c>
      <c r="AF272" t="s">
        <v>80</v>
      </c>
      <c r="AG272" t="s">
        <v>80</v>
      </c>
      <c r="AH272" t="s">
        <v>80</v>
      </c>
      <c r="AI272" t="s">
        <v>78</v>
      </c>
      <c r="AJ272" t="s">
        <v>80</v>
      </c>
      <c r="AK272">
        <v>4</v>
      </c>
      <c r="AL272">
        <v>5</v>
      </c>
      <c r="AM272">
        <v>5</v>
      </c>
      <c r="AN272" t="s">
        <v>97</v>
      </c>
    </row>
    <row r="273" spans="1:60" x14ac:dyDescent="0.35">
      <c r="A273">
        <v>38</v>
      </c>
      <c r="B273" t="str" cm="1">
        <f t="array" ref="B273">_xlfn.IFS(A273&lt;=25,"18-25",A273&lt;=33,"26-33",A273&lt;=41,"34-41",A273&lt;=49,"42-49",A273&gt;49,"50 or above")</f>
        <v>34-41</v>
      </c>
      <c r="C273" t="s">
        <v>89</v>
      </c>
      <c r="D273" t="s">
        <v>105</v>
      </c>
      <c r="E273" t="s">
        <v>121</v>
      </c>
      <c r="F273" t="s">
        <v>65</v>
      </c>
      <c r="G273" t="s">
        <v>66</v>
      </c>
      <c r="H273" t="s">
        <v>66</v>
      </c>
      <c r="I273">
        <v>1</v>
      </c>
      <c r="J273" t="s">
        <v>67</v>
      </c>
      <c r="K273" t="s">
        <v>68</v>
      </c>
      <c r="L273" t="s">
        <v>69</v>
      </c>
      <c r="P273" t="s">
        <v>67</v>
      </c>
      <c r="Q273" t="s">
        <v>70</v>
      </c>
      <c r="R273" t="s">
        <v>71</v>
      </c>
      <c r="S273" t="s">
        <v>72</v>
      </c>
      <c r="T273" t="s">
        <v>140</v>
      </c>
      <c r="U273" t="s">
        <v>74</v>
      </c>
      <c r="V273" t="s">
        <v>75</v>
      </c>
      <c r="W273" t="s">
        <v>76</v>
      </c>
      <c r="Y273" t="s">
        <v>108</v>
      </c>
      <c r="Z273" t="str">
        <f>_xlfn.TEXTJOIN(",",TRUE,Table1[[#This Row],[Col5]],Table1[[#This Row],[Col4]],Table1[[#This Row],[Col3]],Table1[[#This Row],[Col2]],Table1[[#This Row],[Col1]])</f>
        <v xml:space="preserve"> Medicines, Daily Essentials, Snacks and Beverages,Groceries</v>
      </c>
      <c r="AA273" t="s">
        <v>80</v>
      </c>
      <c r="AB273" t="s">
        <v>81</v>
      </c>
      <c r="AC273" t="s">
        <v>80</v>
      </c>
      <c r="AD273" t="s">
        <v>80</v>
      </c>
      <c r="AE273" t="s">
        <v>81</v>
      </c>
      <c r="AF273" t="s">
        <v>78</v>
      </c>
      <c r="AG273" t="s">
        <v>80</v>
      </c>
      <c r="AH273" t="s">
        <v>80</v>
      </c>
      <c r="AI273" t="s">
        <v>81</v>
      </c>
      <c r="AJ273" t="s">
        <v>81</v>
      </c>
      <c r="AK273">
        <v>3</v>
      </c>
      <c r="AL273">
        <v>4</v>
      </c>
      <c r="AM273">
        <v>4</v>
      </c>
      <c r="AN273" t="s">
        <v>82</v>
      </c>
    </row>
    <row r="274" spans="1:60" x14ac:dyDescent="0.35">
      <c r="A274">
        <v>40</v>
      </c>
      <c r="B274" t="str" cm="1">
        <f t="array" ref="B274">_xlfn.IFS(A274&lt;=25,"18-25",A274&lt;=33,"26-33",A274&lt;=41,"34-41",A274&lt;=49,"42-49",A274&gt;49,"50 or above")</f>
        <v>34-41</v>
      </c>
      <c r="C274" t="s">
        <v>89</v>
      </c>
      <c r="D274" t="s">
        <v>116</v>
      </c>
      <c r="E274" t="s">
        <v>109</v>
      </c>
      <c r="F274" t="s">
        <v>65</v>
      </c>
      <c r="G274" t="s">
        <v>66</v>
      </c>
      <c r="H274" t="s">
        <v>66</v>
      </c>
      <c r="I274">
        <v>1</v>
      </c>
      <c r="J274" t="s">
        <v>67</v>
      </c>
      <c r="L274" t="s">
        <v>69</v>
      </c>
      <c r="P274" t="s">
        <v>67</v>
      </c>
      <c r="Q274" t="s">
        <v>70</v>
      </c>
      <c r="R274" t="s">
        <v>92</v>
      </c>
      <c r="S274" t="s">
        <v>95</v>
      </c>
      <c r="T274" t="s">
        <v>73</v>
      </c>
      <c r="V274" t="s">
        <v>96</v>
      </c>
      <c r="Z274" t="str">
        <f>_xlfn.TEXTJOIN(",",TRUE,Table1[[#This Row],[Col5]],Table1[[#This Row],[Col4]],Table1[[#This Row],[Col3]],Table1[[#This Row],[Col2]],Table1[[#This Row],[Col1]])</f>
        <v>Snacks and Beverages</v>
      </c>
      <c r="AA274" t="s">
        <v>78</v>
      </c>
      <c r="AB274" t="s">
        <v>78</v>
      </c>
      <c r="AC274" t="s">
        <v>81</v>
      </c>
      <c r="AD274" t="s">
        <v>78</v>
      </c>
      <c r="AE274" t="s">
        <v>78</v>
      </c>
      <c r="AF274" t="s">
        <v>80</v>
      </c>
      <c r="AG274" t="s">
        <v>80</v>
      </c>
      <c r="AH274" t="s">
        <v>80</v>
      </c>
      <c r="AI274" t="s">
        <v>80</v>
      </c>
      <c r="AJ274" t="s">
        <v>80</v>
      </c>
      <c r="AK274">
        <v>5</v>
      </c>
      <c r="AL274">
        <v>4</v>
      </c>
      <c r="AM274">
        <v>4</v>
      </c>
      <c r="AN274" t="s">
        <v>104</v>
      </c>
    </row>
    <row r="275" spans="1:60" x14ac:dyDescent="0.35">
      <c r="A275">
        <v>27</v>
      </c>
      <c r="B275" t="str" cm="1">
        <f t="array" ref="B275">_xlfn.IFS(A275&lt;=25,"18-25",A275&lt;=33,"26-33",A275&lt;=41,"34-41",A275&lt;=49,"42-49",A275&gt;49,"50 or above")</f>
        <v>26-33</v>
      </c>
      <c r="C275" t="s">
        <v>89</v>
      </c>
      <c r="D275" t="s">
        <v>105</v>
      </c>
      <c r="E275" t="s">
        <v>64</v>
      </c>
      <c r="F275" t="s">
        <v>87</v>
      </c>
      <c r="G275" t="s">
        <v>66</v>
      </c>
      <c r="H275" t="s">
        <v>66</v>
      </c>
      <c r="I275">
        <v>1</v>
      </c>
      <c r="J275" t="s">
        <v>67</v>
      </c>
      <c r="K275" t="s">
        <v>68</v>
      </c>
      <c r="L275" t="s">
        <v>69</v>
      </c>
      <c r="P275" t="s">
        <v>91</v>
      </c>
      <c r="Q275" t="s">
        <v>70</v>
      </c>
      <c r="R275" t="s">
        <v>94</v>
      </c>
      <c r="S275" t="s">
        <v>72</v>
      </c>
      <c r="T275" t="s">
        <v>73</v>
      </c>
      <c r="U275" t="s">
        <v>74</v>
      </c>
      <c r="V275" t="s">
        <v>75</v>
      </c>
      <c r="W275" t="s">
        <v>76</v>
      </c>
      <c r="Z275" t="str">
        <f>_xlfn.TEXTJOIN(",",TRUE,Table1[[#This Row],[Col5]],Table1[[#This Row],[Col4]],Table1[[#This Row],[Col3]],Table1[[#This Row],[Col2]],Table1[[#This Row],[Col1]])</f>
        <v xml:space="preserve"> Daily Essentials, Snacks and Beverages,Groceries</v>
      </c>
      <c r="AA275" t="s">
        <v>80</v>
      </c>
      <c r="AB275" t="s">
        <v>80</v>
      </c>
      <c r="AC275" t="s">
        <v>80</v>
      </c>
      <c r="AD275" t="s">
        <v>80</v>
      </c>
      <c r="AE275" t="s">
        <v>80</v>
      </c>
      <c r="AF275" t="s">
        <v>78</v>
      </c>
      <c r="AG275" t="s">
        <v>80</v>
      </c>
      <c r="AH275" t="s">
        <v>80</v>
      </c>
      <c r="AI275" t="s">
        <v>78</v>
      </c>
      <c r="AJ275" t="s">
        <v>78</v>
      </c>
      <c r="AK275">
        <v>5</v>
      </c>
      <c r="AL275">
        <v>4</v>
      </c>
      <c r="AM275">
        <v>5</v>
      </c>
      <c r="AN275" t="s">
        <v>82</v>
      </c>
    </row>
    <row r="276" spans="1:60" x14ac:dyDescent="0.35">
      <c r="A276">
        <v>30</v>
      </c>
      <c r="B276" t="str" cm="1">
        <f t="array" ref="B276">_xlfn.IFS(A276&lt;=25,"18-25",A276&lt;=33,"26-33",A276&lt;=41,"34-41",A276&lt;=49,"42-49",A276&gt;49,"50 or above")</f>
        <v>26-33</v>
      </c>
      <c r="C276" t="s">
        <v>89</v>
      </c>
      <c r="D276" t="s">
        <v>105</v>
      </c>
      <c r="E276" t="s">
        <v>109</v>
      </c>
      <c r="F276" t="s">
        <v>65</v>
      </c>
      <c r="G276" t="s">
        <v>66</v>
      </c>
      <c r="H276" t="s">
        <v>66</v>
      </c>
      <c r="I276">
        <v>1</v>
      </c>
      <c r="J276" t="s">
        <v>67</v>
      </c>
      <c r="O276" t="s">
        <v>123</v>
      </c>
      <c r="P276" t="s">
        <v>67</v>
      </c>
      <c r="Q276" t="s">
        <v>103</v>
      </c>
      <c r="R276" t="s">
        <v>92</v>
      </c>
      <c r="S276" t="s">
        <v>95</v>
      </c>
      <c r="T276" t="s">
        <v>73</v>
      </c>
      <c r="V276" t="s">
        <v>96</v>
      </c>
      <c r="Z276" t="str">
        <f>_xlfn.TEXTJOIN(",",TRUE,Table1[[#This Row],[Col5]],Table1[[#This Row],[Col4]],Table1[[#This Row],[Col3]],Table1[[#This Row],[Col2]],Table1[[#This Row],[Col1]])</f>
        <v>Snacks and Beverages</v>
      </c>
      <c r="AA276" t="s">
        <v>80</v>
      </c>
      <c r="AB276" t="s">
        <v>78</v>
      </c>
      <c r="AC276" t="s">
        <v>80</v>
      </c>
      <c r="AD276" t="s">
        <v>81</v>
      </c>
      <c r="AE276" t="s">
        <v>81</v>
      </c>
      <c r="AF276" t="s">
        <v>80</v>
      </c>
      <c r="AG276" t="s">
        <v>80</v>
      </c>
      <c r="AH276" t="s">
        <v>78</v>
      </c>
      <c r="AI276" t="s">
        <v>81</v>
      </c>
      <c r="AJ276" t="s">
        <v>81</v>
      </c>
      <c r="AK276">
        <v>3</v>
      </c>
      <c r="AL276">
        <v>5</v>
      </c>
      <c r="AM276">
        <v>4</v>
      </c>
      <c r="AN276" t="s">
        <v>82</v>
      </c>
    </row>
    <row r="277" spans="1:60" x14ac:dyDescent="0.35">
      <c r="A277">
        <v>50</v>
      </c>
      <c r="B277" t="str" cm="1">
        <f t="array" ref="B277">_xlfn.IFS(A277&lt;=25,"18-25",A277&lt;=33,"26-33",A277&lt;=41,"34-41",A277&lt;=49,"42-49",A277&gt;49,"50 or above")</f>
        <v>50 or above</v>
      </c>
      <c r="C277" t="s">
        <v>89</v>
      </c>
      <c r="D277" t="s">
        <v>105</v>
      </c>
      <c r="E277" t="s">
        <v>86</v>
      </c>
      <c r="F277" t="s">
        <v>102</v>
      </c>
      <c r="G277" t="s">
        <v>66</v>
      </c>
      <c r="H277" t="s">
        <v>66</v>
      </c>
      <c r="I277">
        <v>1</v>
      </c>
      <c r="J277" t="s">
        <v>67</v>
      </c>
      <c r="K277" t="s">
        <v>68</v>
      </c>
      <c r="L277" t="s">
        <v>69</v>
      </c>
      <c r="P277" t="s">
        <v>67</v>
      </c>
      <c r="Q277" t="s">
        <v>103</v>
      </c>
      <c r="R277" t="s">
        <v>94</v>
      </c>
      <c r="S277" t="s">
        <v>72</v>
      </c>
      <c r="T277" t="s">
        <v>99</v>
      </c>
      <c r="U277" t="s">
        <v>74</v>
      </c>
      <c r="V277" t="s">
        <v>75</v>
      </c>
      <c r="W277" t="s">
        <v>76</v>
      </c>
      <c r="Z277" t="str">
        <f>_xlfn.TEXTJOIN(",",TRUE,Table1[[#This Row],[Col5]],Table1[[#This Row],[Col4]],Table1[[#This Row],[Col3]],Table1[[#This Row],[Col2]],Table1[[#This Row],[Col1]])</f>
        <v xml:space="preserve"> Daily Essentials, Snacks and Beverages,Groceries</v>
      </c>
      <c r="AA277" t="s">
        <v>78</v>
      </c>
      <c r="AB277" t="s">
        <v>80</v>
      </c>
      <c r="AC277" t="s">
        <v>81</v>
      </c>
      <c r="AD277" t="s">
        <v>80</v>
      </c>
      <c r="AE277" t="s">
        <v>81</v>
      </c>
      <c r="AF277" t="s">
        <v>80</v>
      </c>
      <c r="AG277" t="s">
        <v>78</v>
      </c>
      <c r="AH277" t="s">
        <v>78</v>
      </c>
      <c r="AI277" t="s">
        <v>80</v>
      </c>
      <c r="AJ277" t="s">
        <v>81</v>
      </c>
      <c r="AK277">
        <v>3</v>
      </c>
      <c r="AL277">
        <v>4</v>
      </c>
      <c r="AM277">
        <v>5</v>
      </c>
      <c r="AN277" t="s">
        <v>82</v>
      </c>
    </row>
    <row r="278" spans="1:60" x14ac:dyDescent="0.35">
      <c r="A278">
        <v>35</v>
      </c>
      <c r="B278" t="str" cm="1">
        <f t="array" ref="B278">_xlfn.IFS(A278&lt;=25,"18-25",A278&lt;=33,"26-33",A278&lt;=41,"34-41",A278&lt;=49,"42-49",A278&gt;49,"50 or above")</f>
        <v>34-41</v>
      </c>
      <c r="C278" t="s">
        <v>89</v>
      </c>
      <c r="D278" t="s">
        <v>63</v>
      </c>
      <c r="E278" t="s">
        <v>86</v>
      </c>
      <c r="F278" t="s">
        <v>102</v>
      </c>
      <c r="G278" t="s">
        <v>66</v>
      </c>
      <c r="H278" t="s">
        <v>66</v>
      </c>
      <c r="I278">
        <v>1</v>
      </c>
      <c r="J278" t="s">
        <v>67</v>
      </c>
      <c r="K278" t="s">
        <v>68</v>
      </c>
      <c r="L278" t="s">
        <v>69</v>
      </c>
      <c r="P278" t="s">
        <v>67</v>
      </c>
      <c r="Q278" t="s">
        <v>98</v>
      </c>
      <c r="R278" t="s">
        <v>110</v>
      </c>
      <c r="S278" t="s">
        <v>72</v>
      </c>
      <c r="T278" t="s">
        <v>73</v>
      </c>
      <c r="V278" t="s">
        <v>96</v>
      </c>
      <c r="W278" t="s">
        <v>76</v>
      </c>
      <c r="X278" t="s">
        <v>77</v>
      </c>
      <c r="Z278" t="str">
        <f>_xlfn.TEXTJOIN(",",TRUE,Table1[[#This Row],[Col5]],Table1[[#This Row],[Col4]],Table1[[#This Row],[Col3]],Table1[[#This Row],[Col2]],Table1[[#This Row],[Col1]])</f>
        <v xml:space="preserve"> Personal Care, Daily Essentials,Snacks and Beverages</v>
      </c>
      <c r="AA278" t="s">
        <v>78</v>
      </c>
      <c r="AB278" t="s">
        <v>80</v>
      </c>
      <c r="AC278" t="s">
        <v>81</v>
      </c>
      <c r="AD278" t="s">
        <v>78</v>
      </c>
      <c r="AE278" t="s">
        <v>81</v>
      </c>
      <c r="AF278" t="s">
        <v>80</v>
      </c>
      <c r="AG278" t="s">
        <v>81</v>
      </c>
      <c r="AH278" t="s">
        <v>78</v>
      </c>
      <c r="AI278" t="s">
        <v>80</v>
      </c>
      <c r="AJ278" t="s">
        <v>78</v>
      </c>
      <c r="AK278">
        <v>5</v>
      </c>
      <c r="AL278">
        <v>4</v>
      </c>
      <c r="AM278">
        <v>5</v>
      </c>
      <c r="AN278" t="s">
        <v>82</v>
      </c>
    </row>
    <row r="279" spans="1:60" x14ac:dyDescent="0.35">
      <c r="A279">
        <v>68</v>
      </c>
      <c r="B279" t="str" cm="1">
        <f t="array" ref="B279">_xlfn.IFS(A279&lt;=25,"18-25",A279&lt;=33,"26-33",A279&lt;=41,"34-41",A279&lt;=49,"42-49",A279&gt;49,"50 or above")</f>
        <v>50 or above</v>
      </c>
      <c r="C279" t="s">
        <v>89</v>
      </c>
      <c r="D279" t="s">
        <v>105</v>
      </c>
      <c r="E279" t="s">
        <v>136</v>
      </c>
      <c r="F279" t="s">
        <v>87</v>
      </c>
      <c r="G279" t="s">
        <v>66</v>
      </c>
      <c r="H279" t="s">
        <v>66</v>
      </c>
      <c r="I279">
        <v>1</v>
      </c>
      <c r="J279" t="s">
        <v>67</v>
      </c>
      <c r="K279" t="s">
        <v>68</v>
      </c>
      <c r="P279" t="s">
        <v>67</v>
      </c>
      <c r="Q279" t="s">
        <v>103</v>
      </c>
      <c r="R279" t="s">
        <v>92</v>
      </c>
      <c r="S279" t="s">
        <v>113</v>
      </c>
      <c r="T279" t="s">
        <v>99</v>
      </c>
      <c r="W279" t="s">
        <v>134</v>
      </c>
      <c r="X279" t="s">
        <v>77</v>
      </c>
      <c r="Z279" t="str">
        <f>_xlfn.TEXTJOIN(",",TRUE,Table1[[#This Row],[Col5]],Table1[[#This Row],[Col4]],Table1[[#This Row],[Col3]],Table1[[#This Row],[Col2]],Table1[[#This Row],[Col1]])</f>
        <v xml:space="preserve"> Personal Care,Daily Essentials</v>
      </c>
      <c r="AA279" t="s">
        <v>78</v>
      </c>
      <c r="AB279" t="s">
        <v>78</v>
      </c>
      <c r="AC279" t="s">
        <v>79</v>
      </c>
      <c r="AD279" t="s">
        <v>81</v>
      </c>
      <c r="AE279" t="s">
        <v>80</v>
      </c>
      <c r="AF279" t="s">
        <v>80</v>
      </c>
      <c r="AG279" t="s">
        <v>80</v>
      </c>
      <c r="AH279" t="s">
        <v>79</v>
      </c>
      <c r="AI279" t="s">
        <v>80</v>
      </c>
      <c r="AJ279" t="s">
        <v>81</v>
      </c>
      <c r="AK279">
        <v>5</v>
      </c>
      <c r="AL279">
        <v>2</v>
      </c>
      <c r="AM279">
        <v>3</v>
      </c>
      <c r="AN279" t="s">
        <v>115</v>
      </c>
    </row>
    <row r="280" spans="1:60" x14ac:dyDescent="0.35">
      <c r="A280">
        <v>35</v>
      </c>
      <c r="B280" t="str" cm="1">
        <f t="array" ref="B280">_xlfn.IFS(A280&lt;=25,"18-25",A280&lt;=33,"26-33",A280&lt;=41,"34-41",A280&lt;=49,"42-49",A280&gt;49,"50 or above")</f>
        <v>34-41</v>
      </c>
      <c r="C280" t="s">
        <v>89</v>
      </c>
      <c r="D280" t="s">
        <v>105</v>
      </c>
      <c r="E280" t="s">
        <v>86</v>
      </c>
      <c r="F280" t="s">
        <v>90</v>
      </c>
      <c r="G280" t="s">
        <v>66</v>
      </c>
      <c r="H280" t="s">
        <v>66</v>
      </c>
      <c r="I280">
        <v>1</v>
      </c>
      <c r="J280" t="s">
        <v>67</v>
      </c>
      <c r="K280" t="s">
        <v>68</v>
      </c>
      <c r="L280" t="s">
        <v>69</v>
      </c>
      <c r="P280" t="s">
        <v>67</v>
      </c>
      <c r="Q280" t="s">
        <v>70</v>
      </c>
      <c r="R280" t="s">
        <v>71</v>
      </c>
      <c r="S280" t="s">
        <v>107</v>
      </c>
      <c r="T280" t="s">
        <v>73</v>
      </c>
      <c r="V280" t="s">
        <v>96</v>
      </c>
      <c r="Z280" t="str">
        <f>_xlfn.TEXTJOIN(",",TRUE,Table1[[#This Row],[Col5]],Table1[[#This Row],[Col4]],Table1[[#This Row],[Col3]],Table1[[#This Row],[Col2]],Table1[[#This Row],[Col1]])</f>
        <v>Snacks and Beverages</v>
      </c>
      <c r="AA280" t="s">
        <v>80</v>
      </c>
      <c r="AB280" t="s">
        <v>80</v>
      </c>
      <c r="AC280" t="s">
        <v>81</v>
      </c>
      <c r="AD280" t="s">
        <v>80</v>
      </c>
      <c r="AE280" t="s">
        <v>79</v>
      </c>
      <c r="AF280" t="s">
        <v>80</v>
      </c>
      <c r="AG280" t="s">
        <v>81</v>
      </c>
      <c r="AH280" t="s">
        <v>78</v>
      </c>
      <c r="AI280" t="s">
        <v>78</v>
      </c>
      <c r="AJ280" t="s">
        <v>81</v>
      </c>
      <c r="AK280">
        <v>3</v>
      </c>
      <c r="AL280">
        <v>3</v>
      </c>
      <c r="AM280">
        <v>5</v>
      </c>
      <c r="AN280" t="s">
        <v>82</v>
      </c>
    </row>
    <row r="281" spans="1:60" x14ac:dyDescent="0.35">
      <c r="A281">
        <v>50</v>
      </c>
      <c r="B281" t="str" cm="1">
        <f t="array" ref="B281">_xlfn.IFS(A281&lt;=25,"18-25",A281&lt;=33,"26-33",A281&lt;=41,"34-41",A281&lt;=49,"42-49",A281&gt;49,"50 or above")</f>
        <v>50 or above</v>
      </c>
      <c r="C281" t="s">
        <v>89</v>
      </c>
      <c r="D281" t="s">
        <v>63</v>
      </c>
      <c r="E281" t="s">
        <v>86</v>
      </c>
      <c r="F281" t="s">
        <v>65</v>
      </c>
      <c r="G281" t="s">
        <v>66</v>
      </c>
      <c r="H281" t="s">
        <v>66</v>
      </c>
      <c r="I281">
        <v>1</v>
      </c>
      <c r="J281" t="s">
        <v>67</v>
      </c>
      <c r="K281" t="s">
        <v>68</v>
      </c>
      <c r="P281" t="s">
        <v>93</v>
      </c>
      <c r="Q281" t="s">
        <v>70</v>
      </c>
      <c r="R281" t="s">
        <v>92</v>
      </c>
      <c r="S281" t="s">
        <v>95</v>
      </c>
      <c r="T281" t="s">
        <v>140</v>
      </c>
      <c r="U281" t="s">
        <v>74</v>
      </c>
      <c r="V281" t="s">
        <v>75</v>
      </c>
      <c r="W281" t="s">
        <v>76</v>
      </c>
      <c r="Z281" t="str">
        <f>_xlfn.TEXTJOIN(",",TRUE,Table1[[#This Row],[Col5]],Table1[[#This Row],[Col4]],Table1[[#This Row],[Col3]],Table1[[#This Row],[Col2]],Table1[[#This Row],[Col1]])</f>
        <v xml:space="preserve"> Daily Essentials, Snacks and Beverages,Groceries</v>
      </c>
      <c r="AA281" t="s">
        <v>81</v>
      </c>
      <c r="AB281" t="s">
        <v>80</v>
      </c>
      <c r="AC281" t="s">
        <v>81</v>
      </c>
      <c r="AD281" t="s">
        <v>81</v>
      </c>
      <c r="AE281" t="s">
        <v>80</v>
      </c>
      <c r="AF281" t="s">
        <v>80</v>
      </c>
      <c r="AG281" t="s">
        <v>80</v>
      </c>
      <c r="AH281" t="s">
        <v>80</v>
      </c>
      <c r="AI281" t="s">
        <v>81</v>
      </c>
      <c r="AJ281" t="s">
        <v>78</v>
      </c>
      <c r="AK281">
        <v>5</v>
      </c>
      <c r="AL281">
        <v>3</v>
      </c>
      <c r="AM281">
        <v>4</v>
      </c>
      <c r="AN281" t="s">
        <v>97</v>
      </c>
    </row>
    <row r="282" spans="1:60" x14ac:dyDescent="0.35">
      <c r="A282">
        <v>30</v>
      </c>
      <c r="B282" t="str" cm="1">
        <f t="array" ref="B282">_xlfn.IFS(A282&lt;=25,"18-25",A282&lt;=33,"26-33",A282&lt;=41,"34-41",A282&lt;=49,"42-49",A282&gt;49,"50 or above")</f>
        <v>26-33</v>
      </c>
      <c r="C282" t="s">
        <v>89</v>
      </c>
      <c r="D282" t="s">
        <v>105</v>
      </c>
      <c r="E282" t="s">
        <v>109</v>
      </c>
      <c r="F282" t="s">
        <v>90</v>
      </c>
      <c r="G282" t="s">
        <v>66</v>
      </c>
      <c r="H282" t="s">
        <v>66</v>
      </c>
      <c r="I282">
        <v>1</v>
      </c>
      <c r="J282" t="s">
        <v>67</v>
      </c>
      <c r="K282" t="s">
        <v>68</v>
      </c>
      <c r="L282" t="s">
        <v>69</v>
      </c>
      <c r="P282" t="s">
        <v>91</v>
      </c>
      <c r="Q282" t="s">
        <v>98</v>
      </c>
      <c r="R282" t="s">
        <v>94</v>
      </c>
      <c r="S282" t="s">
        <v>72</v>
      </c>
      <c r="T282" t="s">
        <v>73</v>
      </c>
      <c r="U282" t="s">
        <v>74</v>
      </c>
      <c r="V282" t="s">
        <v>75</v>
      </c>
      <c r="W282" t="s">
        <v>76</v>
      </c>
      <c r="Z282" t="str">
        <f>_xlfn.TEXTJOIN(",",TRUE,Table1[[#This Row],[Col5]],Table1[[#This Row],[Col4]],Table1[[#This Row],[Col3]],Table1[[#This Row],[Col2]],Table1[[#This Row],[Col1]])</f>
        <v xml:space="preserve"> Daily Essentials, Snacks and Beverages,Groceries</v>
      </c>
      <c r="AA282" t="s">
        <v>81</v>
      </c>
      <c r="AB282" t="s">
        <v>80</v>
      </c>
      <c r="AC282" t="s">
        <v>81</v>
      </c>
      <c r="AD282" t="s">
        <v>81</v>
      </c>
      <c r="AE282" t="s">
        <v>80</v>
      </c>
      <c r="AF282" t="s">
        <v>80</v>
      </c>
      <c r="AG282" t="s">
        <v>80</v>
      </c>
      <c r="AH282" t="s">
        <v>80</v>
      </c>
      <c r="AI282" t="s">
        <v>81</v>
      </c>
      <c r="AJ282" t="s">
        <v>78</v>
      </c>
      <c r="AK282">
        <v>5</v>
      </c>
      <c r="AL282">
        <v>4</v>
      </c>
      <c r="AM282">
        <v>4</v>
      </c>
      <c r="AN282" t="s">
        <v>97</v>
      </c>
      <c r="AR282" t="s">
        <v>118</v>
      </c>
    </row>
    <row r="283" spans="1:60" x14ac:dyDescent="0.35">
      <c r="A283">
        <v>45</v>
      </c>
      <c r="B283" t="str" cm="1">
        <f t="array" ref="B283">_xlfn.IFS(A283&lt;=25,"18-25",A283&lt;=33,"26-33",A283&lt;=41,"34-41",A283&lt;=49,"42-49",A283&gt;49,"50 or above")</f>
        <v>42-49</v>
      </c>
      <c r="C283" t="s">
        <v>62</v>
      </c>
      <c r="D283" t="s">
        <v>63</v>
      </c>
      <c r="E283" t="s">
        <v>86</v>
      </c>
      <c r="F283" t="s">
        <v>102</v>
      </c>
      <c r="G283" t="s">
        <v>66</v>
      </c>
      <c r="H283" t="s">
        <v>88</v>
      </c>
      <c r="I283">
        <v>0</v>
      </c>
      <c r="Z283" t="str">
        <f>_xlfn.TEXTJOIN(",",TRUE,Table1[[#This Row],[Col5]],Table1[[#This Row],[Col4]],Table1[[#This Row],[Col3]],Table1[[#This Row],[Col2]],Table1[[#This Row],[Col1]])</f>
        <v/>
      </c>
      <c r="AP283" t="s">
        <v>84</v>
      </c>
      <c r="AS283" t="s">
        <v>143</v>
      </c>
      <c r="AY283" t="s">
        <v>125</v>
      </c>
      <c r="AZ283" t="s">
        <v>125</v>
      </c>
      <c r="BA283" t="s">
        <v>66</v>
      </c>
      <c r="BB283" t="s">
        <v>80</v>
      </c>
      <c r="BC283" t="s">
        <v>80</v>
      </c>
      <c r="BD283" t="s">
        <v>80</v>
      </c>
      <c r="BE283" t="s">
        <v>80</v>
      </c>
      <c r="BF283" t="s">
        <v>81</v>
      </c>
      <c r="BG283" t="s">
        <v>80</v>
      </c>
      <c r="BH283" t="s">
        <v>78</v>
      </c>
    </row>
    <row r="284" spans="1:60" x14ac:dyDescent="0.35">
      <c r="A284">
        <v>52</v>
      </c>
      <c r="B284" t="str" cm="1">
        <f t="array" ref="B284">_xlfn.IFS(A284&lt;=25,"18-25",A284&lt;=33,"26-33",A284&lt;=41,"34-41",A284&lt;=49,"42-49",A284&gt;49,"50 or above")</f>
        <v>50 or above</v>
      </c>
      <c r="C284" t="s">
        <v>62</v>
      </c>
      <c r="D284" t="s">
        <v>105</v>
      </c>
      <c r="E284" t="s">
        <v>109</v>
      </c>
      <c r="F284" t="s">
        <v>102</v>
      </c>
      <c r="G284" t="s">
        <v>66</v>
      </c>
      <c r="H284" t="s">
        <v>88</v>
      </c>
      <c r="I284">
        <v>0</v>
      </c>
      <c r="Z284" t="str">
        <f>_xlfn.TEXTJOIN(",",TRUE,Table1[[#This Row],[Col5]],Table1[[#This Row],[Col4]],Table1[[#This Row],[Col3]],Table1[[#This Row],[Col2]],Table1[[#This Row],[Col1]])</f>
        <v/>
      </c>
      <c r="AR284" t="s">
        <v>118</v>
      </c>
      <c r="AU284" t="s">
        <v>138</v>
      </c>
      <c r="AY284" t="s">
        <v>125</v>
      </c>
      <c r="AZ284" t="s">
        <v>88</v>
      </c>
      <c r="BA284" t="s">
        <v>66</v>
      </c>
      <c r="BB284" t="s">
        <v>80</v>
      </c>
      <c r="BC284" t="s">
        <v>80</v>
      </c>
      <c r="BD284" t="s">
        <v>78</v>
      </c>
      <c r="BE284" t="s">
        <v>80</v>
      </c>
      <c r="BF284" t="s">
        <v>81</v>
      </c>
      <c r="BG284" t="s">
        <v>80</v>
      </c>
      <c r="BH284" t="s">
        <v>78</v>
      </c>
    </row>
    <row r="285" spans="1:60" x14ac:dyDescent="0.35">
      <c r="A285">
        <v>63</v>
      </c>
      <c r="B285" t="str" cm="1">
        <f t="array" ref="B285">_xlfn.IFS(A285&lt;=25,"18-25",A285&lt;=33,"26-33",A285&lt;=41,"34-41",A285&lt;=49,"42-49",A285&gt;49,"50 or above")</f>
        <v>50 or above</v>
      </c>
      <c r="C285" t="s">
        <v>62</v>
      </c>
      <c r="D285" t="s">
        <v>119</v>
      </c>
      <c r="E285" t="s">
        <v>136</v>
      </c>
      <c r="F285" t="s">
        <v>87</v>
      </c>
      <c r="G285" t="s">
        <v>88</v>
      </c>
      <c r="H285" t="s">
        <v>88</v>
      </c>
      <c r="I285">
        <v>0</v>
      </c>
      <c r="Z285" t="str">
        <f>_xlfn.TEXTJOIN(",",TRUE,Table1[[#This Row],[Col5]],Table1[[#This Row],[Col4]],Table1[[#This Row],[Col3]],Table1[[#This Row],[Col2]],Table1[[#This Row],[Col1]])</f>
        <v/>
      </c>
      <c r="AX285" t="s">
        <v>149</v>
      </c>
      <c r="AY285" t="s">
        <v>88</v>
      </c>
      <c r="AZ285" t="s">
        <v>125</v>
      </c>
      <c r="BA285" t="s">
        <v>88</v>
      </c>
      <c r="BB285" t="s">
        <v>81</v>
      </c>
      <c r="BC285" t="s">
        <v>81</v>
      </c>
      <c r="BD285" t="s">
        <v>81</v>
      </c>
      <c r="BE285" t="s">
        <v>81</v>
      </c>
      <c r="BF285" t="s">
        <v>81</v>
      </c>
      <c r="BG285" t="s">
        <v>81</v>
      </c>
      <c r="BH285" t="s">
        <v>81</v>
      </c>
    </row>
    <row r="286" spans="1:60" x14ac:dyDescent="0.35">
      <c r="A286">
        <v>33</v>
      </c>
      <c r="B286" t="str" cm="1">
        <f t="array" ref="B286">_xlfn.IFS(A286&lt;=25,"18-25",A286&lt;=33,"26-33",A286&lt;=41,"34-41",A286&lt;=49,"42-49",A286&gt;49,"50 or above")</f>
        <v>26-33</v>
      </c>
      <c r="C286" t="s">
        <v>62</v>
      </c>
      <c r="D286" t="s">
        <v>105</v>
      </c>
      <c r="E286" t="s">
        <v>86</v>
      </c>
      <c r="F286" t="s">
        <v>87</v>
      </c>
      <c r="G286" t="s">
        <v>66</v>
      </c>
      <c r="H286" t="s">
        <v>88</v>
      </c>
      <c r="I286">
        <v>0</v>
      </c>
      <c r="Z286" t="str">
        <f>_xlfn.TEXTJOIN(",",TRUE,Table1[[#This Row],[Col5]],Table1[[#This Row],[Col4]],Table1[[#This Row],[Col3]],Table1[[#This Row],[Col2]],Table1[[#This Row],[Col1]])</f>
        <v/>
      </c>
      <c r="AP286" t="s">
        <v>84</v>
      </c>
      <c r="AS286" t="s">
        <v>124</v>
      </c>
      <c r="AT286" t="s">
        <v>144</v>
      </c>
      <c r="AW286" t="s">
        <v>142</v>
      </c>
      <c r="AY286" t="s">
        <v>66</v>
      </c>
      <c r="AZ286" t="s">
        <v>66</v>
      </c>
      <c r="BA286" t="s">
        <v>66</v>
      </c>
      <c r="BB286" t="s">
        <v>78</v>
      </c>
      <c r="BC286" t="s">
        <v>78</v>
      </c>
      <c r="BD286" t="s">
        <v>81</v>
      </c>
      <c r="BE286" t="s">
        <v>78</v>
      </c>
      <c r="BF286" t="s">
        <v>78</v>
      </c>
      <c r="BG286" t="s">
        <v>78</v>
      </c>
      <c r="BH286" t="s">
        <v>78</v>
      </c>
    </row>
    <row r="287" spans="1:60" x14ac:dyDescent="0.35">
      <c r="A287">
        <v>47</v>
      </c>
      <c r="B287" t="str" cm="1">
        <f t="array" ref="B287">_xlfn.IFS(A287&lt;=25,"18-25",A287&lt;=33,"26-33",A287&lt;=41,"34-41",A287&lt;=49,"42-49",A287&gt;49,"50 or above")</f>
        <v>42-49</v>
      </c>
      <c r="C287" t="s">
        <v>62</v>
      </c>
      <c r="D287" t="s">
        <v>63</v>
      </c>
      <c r="E287" t="s">
        <v>109</v>
      </c>
      <c r="F287" t="s">
        <v>102</v>
      </c>
      <c r="G287" t="s">
        <v>66</v>
      </c>
      <c r="H287" t="s">
        <v>88</v>
      </c>
      <c r="I287">
        <v>0</v>
      </c>
      <c r="Z287" t="str">
        <f>_xlfn.TEXTJOIN(",",TRUE,Table1[[#This Row],[Col5]],Table1[[#This Row],[Col4]],Table1[[#This Row],[Col3]],Table1[[#This Row],[Col2]],Table1[[#This Row],[Col1]])</f>
        <v/>
      </c>
      <c r="AO287" t="s">
        <v>83</v>
      </c>
      <c r="AY287" t="s">
        <v>88</v>
      </c>
      <c r="AZ287" t="s">
        <v>88</v>
      </c>
      <c r="BA287" t="s">
        <v>66</v>
      </c>
      <c r="BB287" t="s">
        <v>101</v>
      </c>
      <c r="BC287" t="s">
        <v>101</v>
      </c>
      <c r="BD287" t="s">
        <v>79</v>
      </c>
      <c r="BE287" t="s">
        <v>79</v>
      </c>
      <c r="BF287" t="s">
        <v>101</v>
      </c>
      <c r="BG287" t="s">
        <v>101</v>
      </c>
      <c r="BH287" t="s">
        <v>78</v>
      </c>
    </row>
    <row r="288" spans="1:60" x14ac:dyDescent="0.35">
      <c r="A288">
        <v>28</v>
      </c>
      <c r="B288" t="str" cm="1">
        <f t="array" ref="B288">_xlfn.IFS(A288&lt;=25,"18-25",A288&lt;=33,"26-33",A288&lt;=41,"34-41",A288&lt;=49,"42-49",A288&gt;49,"50 or above")</f>
        <v>26-33</v>
      </c>
      <c r="C288" t="s">
        <v>62</v>
      </c>
      <c r="D288" t="s">
        <v>63</v>
      </c>
      <c r="E288" t="s">
        <v>86</v>
      </c>
      <c r="F288" t="s">
        <v>90</v>
      </c>
      <c r="G288" t="s">
        <v>66</v>
      </c>
      <c r="H288" t="s">
        <v>88</v>
      </c>
      <c r="I288">
        <v>0</v>
      </c>
      <c r="Z288" t="str">
        <f>_xlfn.TEXTJOIN(",",TRUE,Table1[[#This Row],[Col5]],Table1[[#This Row],[Col4]],Table1[[#This Row],[Col3]],Table1[[#This Row],[Col2]],Table1[[#This Row],[Col1]])</f>
        <v/>
      </c>
      <c r="AR288" t="s">
        <v>118</v>
      </c>
      <c r="AY288" t="s">
        <v>125</v>
      </c>
      <c r="AZ288" t="s">
        <v>66</v>
      </c>
      <c r="BA288" t="s">
        <v>88</v>
      </c>
      <c r="BB288" t="s">
        <v>78</v>
      </c>
      <c r="BC288" t="s">
        <v>80</v>
      </c>
      <c r="BD288" t="s">
        <v>80</v>
      </c>
      <c r="BE288" t="s">
        <v>78</v>
      </c>
      <c r="BF288" t="s">
        <v>81</v>
      </c>
      <c r="BG288" t="s">
        <v>78</v>
      </c>
      <c r="BH288" t="s">
        <v>78</v>
      </c>
    </row>
    <row r="289" spans="1:60" x14ac:dyDescent="0.35">
      <c r="A289">
        <v>38</v>
      </c>
      <c r="B289" t="str" cm="1">
        <f t="array" ref="B289">_xlfn.IFS(A289&lt;=25,"18-25",A289&lt;=33,"26-33",A289&lt;=41,"34-41",A289&lt;=49,"42-49",A289&gt;49,"50 or above")</f>
        <v>34-41</v>
      </c>
      <c r="C289" t="s">
        <v>62</v>
      </c>
      <c r="D289" t="s">
        <v>63</v>
      </c>
      <c r="E289" t="s">
        <v>86</v>
      </c>
      <c r="F289" t="s">
        <v>102</v>
      </c>
      <c r="G289" t="s">
        <v>66</v>
      </c>
      <c r="H289" t="s">
        <v>88</v>
      </c>
      <c r="I289">
        <v>0</v>
      </c>
      <c r="Z289" t="str">
        <f>_xlfn.TEXTJOIN(",",TRUE,Table1[[#This Row],[Col5]],Table1[[#This Row],[Col4]],Table1[[#This Row],[Col3]],Table1[[#This Row],[Col2]],Table1[[#This Row],[Col1]])</f>
        <v/>
      </c>
      <c r="AR289" t="s">
        <v>118</v>
      </c>
      <c r="AY289" t="s">
        <v>125</v>
      </c>
      <c r="AZ289" t="s">
        <v>88</v>
      </c>
      <c r="BA289" t="s">
        <v>66</v>
      </c>
      <c r="BB289" t="s">
        <v>81</v>
      </c>
      <c r="BC289" t="s">
        <v>81</v>
      </c>
      <c r="BD289" t="s">
        <v>80</v>
      </c>
      <c r="BE289" t="s">
        <v>81</v>
      </c>
      <c r="BF289" t="s">
        <v>81</v>
      </c>
      <c r="BG289" t="s">
        <v>81</v>
      </c>
      <c r="BH289" t="s">
        <v>80</v>
      </c>
    </row>
    <row r="290" spans="1:60" x14ac:dyDescent="0.35">
      <c r="A290">
        <v>46</v>
      </c>
      <c r="B290" t="str" cm="1">
        <f t="array" ref="B290">_xlfn.IFS(A290&lt;=25,"18-25",A290&lt;=33,"26-33",A290&lt;=41,"34-41",A290&lt;=49,"42-49",A290&gt;49,"50 or above")</f>
        <v>42-49</v>
      </c>
      <c r="C290" t="s">
        <v>62</v>
      </c>
      <c r="D290" t="s">
        <v>116</v>
      </c>
      <c r="E290" t="s">
        <v>109</v>
      </c>
      <c r="F290" t="s">
        <v>65</v>
      </c>
      <c r="G290" t="s">
        <v>66</v>
      </c>
      <c r="H290" t="s">
        <v>88</v>
      </c>
      <c r="I290">
        <v>0</v>
      </c>
      <c r="Z290" t="str">
        <f>_xlfn.TEXTJOIN(",",TRUE,Table1[[#This Row],[Col5]],Table1[[#This Row],[Col4]],Table1[[#This Row],[Col3]],Table1[[#This Row],[Col2]],Table1[[#This Row],[Col1]])</f>
        <v/>
      </c>
      <c r="AU290" t="s">
        <v>145</v>
      </c>
      <c r="AY290" t="s">
        <v>125</v>
      </c>
      <c r="AZ290" t="s">
        <v>125</v>
      </c>
      <c r="BA290" t="s">
        <v>66</v>
      </c>
      <c r="BB290" t="s">
        <v>80</v>
      </c>
      <c r="BC290" t="s">
        <v>80</v>
      </c>
      <c r="BD290" t="s">
        <v>80</v>
      </c>
      <c r="BE290" t="s">
        <v>80</v>
      </c>
      <c r="BF290" t="s">
        <v>81</v>
      </c>
      <c r="BG290" t="s">
        <v>80</v>
      </c>
      <c r="BH290" t="s">
        <v>78</v>
      </c>
    </row>
    <row r="291" spans="1:60" x14ac:dyDescent="0.35">
      <c r="A291">
        <v>62</v>
      </c>
      <c r="B291" t="str" cm="1">
        <f t="array" ref="B291">_xlfn.IFS(A291&lt;=25,"18-25",A291&lt;=33,"26-33",A291&lt;=41,"34-41",A291&lt;=49,"42-49",A291&gt;49,"50 or above")</f>
        <v>50 or above</v>
      </c>
      <c r="C291" t="s">
        <v>62</v>
      </c>
      <c r="D291" t="s">
        <v>63</v>
      </c>
      <c r="E291" t="s">
        <v>136</v>
      </c>
      <c r="F291" t="s">
        <v>102</v>
      </c>
      <c r="G291" t="s">
        <v>88</v>
      </c>
      <c r="H291" t="s">
        <v>88</v>
      </c>
      <c r="I291">
        <v>0</v>
      </c>
      <c r="Z291" t="str">
        <f>_xlfn.TEXTJOIN(",",TRUE,Table1[[#This Row],[Col5]],Table1[[#This Row],[Col4]],Table1[[#This Row],[Col3]],Table1[[#This Row],[Col2]],Table1[[#This Row],[Col1]])</f>
        <v/>
      </c>
      <c r="AR291" t="s">
        <v>118</v>
      </c>
      <c r="AY291" t="s">
        <v>88</v>
      </c>
      <c r="AZ291" t="s">
        <v>88</v>
      </c>
      <c r="BA291" t="s">
        <v>88</v>
      </c>
      <c r="BB291" t="s">
        <v>81</v>
      </c>
      <c r="BC291" t="s">
        <v>81</v>
      </c>
      <c r="BD291" t="s">
        <v>81</v>
      </c>
      <c r="BE291" t="s">
        <v>81</v>
      </c>
      <c r="BF291" t="s">
        <v>81</v>
      </c>
      <c r="BG291" t="s">
        <v>81</v>
      </c>
      <c r="BH291" t="s">
        <v>81</v>
      </c>
    </row>
    <row r="292" spans="1:60" x14ac:dyDescent="0.35">
      <c r="A292">
        <v>42</v>
      </c>
      <c r="B292" t="str" cm="1">
        <f t="array" ref="B292">_xlfn.IFS(A292&lt;=25,"18-25",A292&lt;=33,"26-33",A292&lt;=41,"34-41",A292&lt;=49,"42-49",A292&gt;49,"50 or above")</f>
        <v>42-49</v>
      </c>
      <c r="C292" t="s">
        <v>62</v>
      </c>
      <c r="D292" t="s">
        <v>63</v>
      </c>
      <c r="E292" t="s">
        <v>86</v>
      </c>
      <c r="F292" t="s">
        <v>87</v>
      </c>
      <c r="G292" t="s">
        <v>66</v>
      </c>
      <c r="H292" t="s">
        <v>88</v>
      </c>
      <c r="I292">
        <v>0</v>
      </c>
      <c r="Z292" t="str">
        <f>_xlfn.TEXTJOIN(",",TRUE,Table1[[#This Row],[Col5]],Table1[[#This Row],[Col4]],Table1[[#This Row],[Col3]],Table1[[#This Row],[Col2]],Table1[[#This Row],[Col1]])</f>
        <v/>
      </c>
      <c r="AR292" t="s">
        <v>118</v>
      </c>
      <c r="AY292" t="s">
        <v>125</v>
      </c>
      <c r="AZ292" t="s">
        <v>125</v>
      </c>
      <c r="BA292" t="s">
        <v>66</v>
      </c>
      <c r="BB292" t="s">
        <v>80</v>
      </c>
      <c r="BC292" t="s">
        <v>80</v>
      </c>
      <c r="BD292" t="s">
        <v>80</v>
      </c>
      <c r="BE292" t="s">
        <v>80</v>
      </c>
      <c r="BF292" t="s">
        <v>81</v>
      </c>
      <c r="BG292" t="s">
        <v>80</v>
      </c>
      <c r="BH292" t="s">
        <v>78</v>
      </c>
    </row>
    <row r="293" spans="1:60" x14ac:dyDescent="0.35">
      <c r="A293">
        <v>52</v>
      </c>
      <c r="B293" t="str" cm="1">
        <f t="array" ref="B293">_xlfn.IFS(A293&lt;=25,"18-25",A293&lt;=33,"26-33",A293&lt;=41,"34-41",A293&lt;=49,"42-49",A293&gt;49,"50 or above")</f>
        <v>50 or above</v>
      </c>
      <c r="C293" t="s">
        <v>62</v>
      </c>
      <c r="D293" t="s">
        <v>63</v>
      </c>
      <c r="E293" t="s">
        <v>86</v>
      </c>
      <c r="F293" t="s">
        <v>102</v>
      </c>
      <c r="G293" t="s">
        <v>66</v>
      </c>
      <c r="H293" t="s">
        <v>88</v>
      </c>
      <c r="I293">
        <v>0</v>
      </c>
      <c r="Z293" t="str">
        <f>_xlfn.TEXTJOIN(",",TRUE,Table1[[#This Row],[Col5]],Table1[[#This Row],[Col4]],Table1[[#This Row],[Col3]],Table1[[#This Row],[Col2]],Table1[[#This Row],[Col1]])</f>
        <v/>
      </c>
      <c r="AX293" t="s">
        <v>149</v>
      </c>
      <c r="AY293" t="s">
        <v>125</v>
      </c>
      <c r="AZ293" t="s">
        <v>125</v>
      </c>
      <c r="BA293" t="s">
        <v>66</v>
      </c>
      <c r="BB293" t="s">
        <v>80</v>
      </c>
      <c r="BC293" t="s">
        <v>80</v>
      </c>
      <c r="BD293" t="s">
        <v>80</v>
      </c>
      <c r="BE293" t="s">
        <v>80</v>
      </c>
      <c r="BF293" t="s">
        <v>81</v>
      </c>
      <c r="BG293" t="s">
        <v>80</v>
      </c>
      <c r="BH293" t="s">
        <v>78</v>
      </c>
    </row>
    <row r="294" spans="1:60" x14ac:dyDescent="0.35">
      <c r="A294">
        <v>28</v>
      </c>
      <c r="B294" t="str" cm="1">
        <f t="array" ref="B294">_xlfn.IFS(A294&lt;=25,"18-25",A294&lt;=33,"26-33",A294&lt;=41,"34-41",A294&lt;=49,"42-49",A294&gt;49,"50 or above")</f>
        <v>26-33</v>
      </c>
      <c r="C294" t="s">
        <v>62</v>
      </c>
      <c r="D294" t="s">
        <v>63</v>
      </c>
      <c r="E294" t="s">
        <v>64</v>
      </c>
      <c r="F294" t="s">
        <v>90</v>
      </c>
      <c r="G294" t="s">
        <v>66</v>
      </c>
      <c r="H294" t="s">
        <v>88</v>
      </c>
      <c r="I294">
        <v>0</v>
      </c>
      <c r="Z294" t="str">
        <f>_xlfn.TEXTJOIN(",",TRUE,Table1[[#This Row],[Col5]],Table1[[#This Row],[Col4]],Table1[[#This Row],[Col3]],Table1[[#This Row],[Col2]],Table1[[#This Row],[Col1]])</f>
        <v/>
      </c>
      <c r="AT294" t="s">
        <v>144</v>
      </c>
      <c r="AY294" t="s">
        <v>66</v>
      </c>
      <c r="AZ294" t="s">
        <v>66</v>
      </c>
      <c r="BA294" t="s">
        <v>66</v>
      </c>
      <c r="BB294" t="s">
        <v>81</v>
      </c>
      <c r="BC294" t="s">
        <v>81</v>
      </c>
      <c r="BD294" t="s">
        <v>81</v>
      </c>
      <c r="BE294" t="s">
        <v>81</v>
      </c>
      <c r="BF294" t="s">
        <v>78</v>
      </c>
      <c r="BG294" t="s">
        <v>81</v>
      </c>
      <c r="BH294" t="s">
        <v>81</v>
      </c>
    </row>
    <row r="295" spans="1:60" x14ac:dyDescent="0.35">
      <c r="A295">
        <v>71</v>
      </c>
      <c r="B295" t="str" cm="1">
        <f t="array" ref="B295">_xlfn.IFS(A295&lt;=25,"18-25",A295&lt;=33,"26-33",A295&lt;=41,"34-41",A295&lt;=49,"42-49",A295&gt;49,"50 or above")</f>
        <v>50 or above</v>
      </c>
      <c r="C295" t="s">
        <v>62</v>
      </c>
      <c r="D295" t="s">
        <v>63</v>
      </c>
      <c r="E295" t="s">
        <v>136</v>
      </c>
      <c r="F295" t="s">
        <v>102</v>
      </c>
      <c r="G295" t="s">
        <v>88</v>
      </c>
      <c r="H295" t="s">
        <v>88</v>
      </c>
      <c r="I295">
        <v>0</v>
      </c>
      <c r="Z295" t="str">
        <f>_xlfn.TEXTJOIN(",",TRUE,Table1[[#This Row],[Col5]],Table1[[#This Row],[Col4]],Table1[[#This Row],[Col3]],Table1[[#This Row],[Col2]],Table1[[#This Row],[Col1]])</f>
        <v/>
      </c>
      <c r="AW295" t="s">
        <v>150</v>
      </c>
      <c r="AY295" t="s">
        <v>88</v>
      </c>
      <c r="AZ295" t="s">
        <v>88</v>
      </c>
      <c r="BB295" t="s">
        <v>79</v>
      </c>
      <c r="BC295" t="s">
        <v>79</v>
      </c>
      <c r="BD295" t="s">
        <v>79</v>
      </c>
      <c r="BE295" t="s">
        <v>79</v>
      </c>
      <c r="BF295" t="s">
        <v>79</v>
      </c>
      <c r="BG295" t="s">
        <v>79</v>
      </c>
      <c r="BH295" t="s">
        <v>81</v>
      </c>
    </row>
    <row r="296" spans="1:60" x14ac:dyDescent="0.35">
      <c r="A296">
        <v>34</v>
      </c>
      <c r="B296" t="str" cm="1">
        <f t="array" ref="B296">_xlfn.IFS(A296&lt;=25,"18-25",A296&lt;=33,"26-33",A296&lt;=41,"34-41",A296&lt;=49,"42-49",A296&gt;49,"50 or above")</f>
        <v>34-41</v>
      </c>
      <c r="C296" t="s">
        <v>89</v>
      </c>
      <c r="D296" t="s">
        <v>63</v>
      </c>
      <c r="E296" t="s">
        <v>86</v>
      </c>
      <c r="F296" t="s">
        <v>102</v>
      </c>
      <c r="G296" t="s">
        <v>66</v>
      </c>
      <c r="H296" t="s">
        <v>88</v>
      </c>
      <c r="I296">
        <v>0</v>
      </c>
      <c r="Z296" t="str">
        <f>_xlfn.TEXTJOIN(",",TRUE,Table1[[#This Row],[Col5]],Table1[[#This Row],[Col4]],Table1[[#This Row],[Col3]],Table1[[#This Row],[Col2]],Table1[[#This Row],[Col1]])</f>
        <v/>
      </c>
      <c r="AR296" t="s">
        <v>118</v>
      </c>
      <c r="AY296" t="s">
        <v>66</v>
      </c>
      <c r="AZ296" t="s">
        <v>66</v>
      </c>
      <c r="BA296" t="s">
        <v>66</v>
      </c>
      <c r="BB296" t="s">
        <v>80</v>
      </c>
      <c r="BC296" t="s">
        <v>80</v>
      </c>
      <c r="BD296" t="s">
        <v>80</v>
      </c>
      <c r="BE296" t="s">
        <v>80</v>
      </c>
      <c r="BF296" t="s">
        <v>81</v>
      </c>
      <c r="BG296" t="s">
        <v>80</v>
      </c>
      <c r="BH296" t="s">
        <v>78</v>
      </c>
    </row>
    <row r="297" spans="1:60" x14ac:dyDescent="0.35">
      <c r="A297">
        <v>57</v>
      </c>
      <c r="B297" t="str" cm="1">
        <f t="array" ref="B297">_xlfn.IFS(A297&lt;=25,"18-25",A297&lt;=33,"26-33",A297&lt;=41,"34-41",A297&lt;=49,"42-49",A297&gt;49,"50 or above")</f>
        <v>50 or above</v>
      </c>
      <c r="C297" t="s">
        <v>89</v>
      </c>
      <c r="D297" t="s">
        <v>120</v>
      </c>
      <c r="E297" t="s">
        <v>121</v>
      </c>
      <c r="F297" t="s">
        <v>102</v>
      </c>
      <c r="G297" t="s">
        <v>88</v>
      </c>
      <c r="H297" t="s">
        <v>88</v>
      </c>
      <c r="I297">
        <v>0</v>
      </c>
      <c r="Z297" t="str">
        <f>_xlfn.TEXTJOIN(",",TRUE,Table1[[#This Row],[Col5]],Table1[[#This Row],[Col4]],Table1[[#This Row],[Col3]],Table1[[#This Row],[Col2]],Table1[[#This Row],[Col1]])</f>
        <v/>
      </c>
      <c r="AW297" t="s">
        <v>150</v>
      </c>
      <c r="AY297" t="s">
        <v>125</v>
      </c>
      <c r="AZ297" t="s">
        <v>125</v>
      </c>
      <c r="BA297" t="s">
        <v>88</v>
      </c>
      <c r="BB297" t="s">
        <v>81</v>
      </c>
      <c r="BC297" t="s">
        <v>81</v>
      </c>
      <c r="BD297" t="s">
        <v>81</v>
      </c>
      <c r="BE297" t="s">
        <v>81</v>
      </c>
      <c r="BF297" t="s">
        <v>81</v>
      </c>
      <c r="BG297" t="s">
        <v>81</v>
      </c>
      <c r="BH297" t="s">
        <v>81</v>
      </c>
    </row>
    <row r="298" spans="1:60" x14ac:dyDescent="0.35">
      <c r="A298">
        <v>42</v>
      </c>
      <c r="B298" t="str" cm="1">
        <f t="array" ref="B298">_xlfn.IFS(A298&lt;=25,"18-25",A298&lt;=33,"26-33",A298&lt;=41,"34-41",A298&lt;=49,"42-49",A298&gt;49,"50 or above")</f>
        <v>42-49</v>
      </c>
      <c r="C298" t="s">
        <v>89</v>
      </c>
      <c r="D298" t="s">
        <v>63</v>
      </c>
      <c r="E298" t="s">
        <v>86</v>
      </c>
      <c r="F298" t="s">
        <v>87</v>
      </c>
      <c r="G298" t="s">
        <v>66</v>
      </c>
      <c r="H298" t="s">
        <v>88</v>
      </c>
      <c r="I298">
        <v>0</v>
      </c>
      <c r="Z298" t="str">
        <f>_xlfn.TEXTJOIN(",",TRUE,Table1[[#This Row],[Col5]],Table1[[#This Row],[Col4]],Table1[[#This Row],[Col3]],Table1[[#This Row],[Col2]],Table1[[#This Row],[Col1]])</f>
        <v/>
      </c>
      <c r="AR298" t="s">
        <v>118</v>
      </c>
      <c r="AU298" t="s">
        <v>138</v>
      </c>
      <c r="AY298" t="s">
        <v>66</v>
      </c>
      <c r="AZ298" t="s">
        <v>66</v>
      </c>
      <c r="BA298" t="s">
        <v>66</v>
      </c>
      <c r="BB298" t="s">
        <v>80</v>
      </c>
      <c r="BC298" t="s">
        <v>80</v>
      </c>
      <c r="BD298" t="s">
        <v>80</v>
      </c>
      <c r="BE298" t="s">
        <v>80</v>
      </c>
      <c r="BF298" t="s">
        <v>81</v>
      </c>
      <c r="BG298" t="s">
        <v>80</v>
      </c>
      <c r="BH298" t="s">
        <v>78</v>
      </c>
    </row>
    <row r="299" spans="1:60" x14ac:dyDescent="0.35">
      <c r="A299">
        <v>61</v>
      </c>
      <c r="B299" t="str" cm="1">
        <f t="array" ref="B299">_xlfn.IFS(A299&lt;=25,"18-25",A299&lt;=33,"26-33",A299&lt;=41,"34-41",A299&lt;=49,"42-49",A299&gt;49,"50 or above")</f>
        <v>50 or above</v>
      </c>
      <c r="C299" t="s">
        <v>89</v>
      </c>
      <c r="D299" t="s">
        <v>119</v>
      </c>
      <c r="E299" t="s">
        <v>121</v>
      </c>
      <c r="F299" t="s">
        <v>87</v>
      </c>
      <c r="G299" t="s">
        <v>88</v>
      </c>
      <c r="H299" t="s">
        <v>88</v>
      </c>
      <c r="I299">
        <v>0</v>
      </c>
      <c r="Z299" t="str">
        <f>_xlfn.TEXTJOIN(",",TRUE,Table1[[#This Row],[Col5]],Table1[[#This Row],[Col4]],Table1[[#This Row],[Col3]],Table1[[#This Row],[Col2]],Table1[[#This Row],[Col1]])</f>
        <v/>
      </c>
      <c r="AT299" t="s">
        <v>144</v>
      </c>
      <c r="AY299" t="s">
        <v>88</v>
      </c>
      <c r="AZ299" t="s">
        <v>88</v>
      </c>
      <c r="BA299" t="s">
        <v>88</v>
      </c>
      <c r="BB299" t="s">
        <v>81</v>
      </c>
      <c r="BC299" t="s">
        <v>81</v>
      </c>
      <c r="BD299" t="s">
        <v>81</v>
      </c>
      <c r="BE299" t="s">
        <v>81</v>
      </c>
      <c r="BF299" t="s">
        <v>81</v>
      </c>
      <c r="BG299" t="s">
        <v>81</v>
      </c>
      <c r="BH299" t="s">
        <v>81</v>
      </c>
    </row>
    <row r="300" spans="1:60" x14ac:dyDescent="0.35">
      <c r="A300">
        <v>29</v>
      </c>
      <c r="B300" t="str" cm="1">
        <f t="array" ref="B300">_xlfn.IFS(A300&lt;=25,"18-25",A300&lt;=33,"26-33",A300&lt;=41,"34-41",A300&lt;=49,"42-49",A300&gt;49,"50 or above")</f>
        <v>26-33</v>
      </c>
      <c r="C300" t="s">
        <v>89</v>
      </c>
      <c r="D300" t="s">
        <v>63</v>
      </c>
      <c r="E300" t="s">
        <v>86</v>
      </c>
      <c r="F300" t="s">
        <v>90</v>
      </c>
      <c r="G300" t="s">
        <v>66</v>
      </c>
      <c r="H300" t="s">
        <v>88</v>
      </c>
      <c r="I300">
        <v>0</v>
      </c>
      <c r="Z300" t="str">
        <f>_xlfn.TEXTJOIN(",",TRUE,Table1[[#This Row],[Col5]],Table1[[#This Row],[Col4]],Table1[[#This Row],[Col3]],Table1[[#This Row],[Col2]],Table1[[#This Row],[Col1]])</f>
        <v/>
      </c>
      <c r="AW300" t="s">
        <v>150</v>
      </c>
      <c r="AY300" t="s">
        <v>88</v>
      </c>
      <c r="AZ300" t="s">
        <v>88</v>
      </c>
      <c r="BA300" t="s">
        <v>66</v>
      </c>
      <c r="BB300" t="s">
        <v>79</v>
      </c>
      <c r="BC300" t="s">
        <v>79</v>
      </c>
      <c r="BD300" t="s">
        <v>79</v>
      </c>
      <c r="BE300" t="s">
        <v>79</v>
      </c>
      <c r="BF300" t="s">
        <v>81</v>
      </c>
      <c r="BG300" t="s">
        <v>79</v>
      </c>
      <c r="BH300" t="s">
        <v>80</v>
      </c>
    </row>
    <row r="301" spans="1:60" x14ac:dyDescent="0.35">
      <c r="A301">
        <v>48</v>
      </c>
      <c r="B301" t="str" cm="1">
        <f t="array" ref="B301">_xlfn.IFS(A301&lt;=25,"18-25",A301&lt;=33,"26-33",A301&lt;=41,"34-41",A301&lt;=49,"42-49",A301&gt;49,"50 or above")</f>
        <v>42-49</v>
      </c>
      <c r="C301" t="s">
        <v>89</v>
      </c>
      <c r="D301" t="s">
        <v>119</v>
      </c>
      <c r="E301" t="s">
        <v>121</v>
      </c>
      <c r="F301" t="s">
        <v>65</v>
      </c>
      <c r="G301" t="s">
        <v>66</v>
      </c>
      <c r="H301" t="s">
        <v>88</v>
      </c>
      <c r="I301">
        <v>0</v>
      </c>
      <c r="Z301" t="str">
        <f>_xlfn.TEXTJOIN(",",TRUE,Table1[[#This Row],[Col5]],Table1[[#This Row],[Col4]],Table1[[#This Row],[Col3]],Table1[[#This Row],[Col2]],Table1[[#This Row],[Col1]])</f>
        <v/>
      </c>
      <c r="AW301" t="s">
        <v>150</v>
      </c>
      <c r="AY301" t="s">
        <v>66</v>
      </c>
      <c r="AZ301" t="s">
        <v>66</v>
      </c>
      <c r="BA301" t="s">
        <v>66</v>
      </c>
      <c r="BB301" t="s">
        <v>81</v>
      </c>
      <c r="BC301" t="s">
        <v>81</v>
      </c>
      <c r="BD301" t="s">
        <v>81</v>
      </c>
      <c r="BE301" t="s">
        <v>81</v>
      </c>
      <c r="BF301" t="s">
        <v>81</v>
      </c>
      <c r="BG301" t="s">
        <v>81</v>
      </c>
      <c r="BH301" t="s">
        <v>81</v>
      </c>
    </row>
    <row r="302" spans="1:60" x14ac:dyDescent="0.35">
      <c r="A302">
        <v>53</v>
      </c>
      <c r="B302" t="str" cm="1">
        <f t="array" ref="B302">_xlfn.IFS(A302&lt;=25,"18-25",A302&lt;=33,"26-33",A302&lt;=41,"34-41",A302&lt;=49,"42-49",A302&gt;49,"50 or above")</f>
        <v>50 or above</v>
      </c>
      <c r="C302" t="s">
        <v>89</v>
      </c>
      <c r="D302" t="s">
        <v>120</v>
      </c>
      <c r="E302" t="s">
        <v>121</v>
      </c>
      <c r="F302" t="s">
        <v>102</v>
      </c>
      <c r="G302" t="s">
        <v>66</v>
      </c>
      <c r="H302" t="s">
        <v>88</v>
      </c>
      <c r="I302">
        <v>0</v>
      </c>
      <c r="Z302" t="str">
        <f>_xlfn.TEXTJOIN(",",TRUE,Table1[[#This Row],[Col5]],Table1[[#This Row],[Col4]],Table1[[#This Row],[Col3]],Table1[[#This Row],[Col2]],Table1[[#This Row],[Col1]])</f>
        <v/>
      </c>
      <c r="AY302" t="s">
        <v>66</v>
      </c>
      <c r="AZ302" t="s">
        <v>88</v>
      </c>
      <c r="BA302" t="s">
        <v>66</v>
      </c>
      <c r="BB302" t="s">
        <v>81</v>
      </c>
      <c r="BC302" t="s">
        <v>81</v>
      </c>
      <c r="BD302" t="s">
        <v>81</v>
      </c>
      <c r="BE302" t="s">
        <v>81</v>
      </c>
      <c r="BF302" t="s">
        <v>81</v>
      </c>
      <c r="BG302" t="s">
        <v>81</v>
      </c>
      <c r="BH302" t="s">
        <v>81</v>
      </c>
    </row>
    <row r="303" spans="1:60" x14ac:dyDescent="0.35">
      <c r="A303">
        <v>37</v>
      </c>
      <c r="B303" t="str" cm="1">
        <f t="array" ref="B303">_xlfn.IFS(A303&lt;=25,"18-25",A303&lt;=33,"26-33",A303&lt;=41,"34-41",A303&lt;=49,"42-49",A303&gt;49,"50 or above")</f>
        <v>34-41</v>
      </c>
      <c r="C303" t="s">
        <v>89</v>
      </c>
      <c r="D303" t="s">
        <v>63</v>
      </c>
      <c r="E303" t="s">
        <v>86</v>
      </c>
      <c r="F303" t="s">
        <v>87</v>
      </c>
      <c r="G303" t="s">
        <v>66</v>
      </c>
      <c r="H303" t="s">
        <v>88</v>
      </c>
      <c r="I303">
        <v>0</v>
      </c>
      <c r="Z303" t="str">
        <f>_xlfn.TEXTJOIN(",",TRUE,Table1[[#This Row],[Col5]],Table1[[#This Row],[Col4]],Table1[[#This Row],[Col3]],Table1[[#This Row],[Col2]],Table1[[#This Row],[Col1]])</f>
        <v/>
      </c>
      <c r="AW303" t="s">
        <v>150</v>
      </c>
      <c r="AY303" t="s">
        <v>66</v>
      </c>
      <c r="AZ303" t="s">
        <v>66</v>
      </c>
      <c r="BA303" t="s">
        <v>66</v>
      </c>
      <c r="BB303" t="s">
        <v>81</v>
      </c>
      <c r="BC303" t="s">
        <v>81</v>
      </c>
      <c r="BD303" t="s">
        <v>81</v>
      </c>
      <c r="BE303" t="s">
        <v>81</v>
      </c>
      <c r="BF303" t="s">
        <v>78</v>
      </c>
      <c r="BG303" t="s">
        <v>81</v>
      </c>
      <c r="BH303" t="s">
        <v>81</v>
      </c>
    </row>
    <row r="304" spans="1:60" x14ac:dyDescent="0.35">
      <c r="A304">
        <v>65</v>
      </c>
      <c r="B304" t="str" cm="1">
        <f t="array" ref="B304">_xlfn.IFS(A304&lt;=25,"18-25",A304&lt;=33,"26-33",A304&lt;=41,"34-41",A304&lt;=49,"42-49",A304&gt;49,"50 or above")</f>
        <v>50 or above</v>
      </c>
      <c r="C304" t="s">
        <v>89</v>
      </c>
      <c r="D304" t="s">
        <v>119</v>
      </c>
      <c r="E304" t="s">
        <v>121</v>
      </c>
      <c r="F304" t="s">
        <v>65</v>
      </c>
      <c r="G304" t="s">
        <v>66</v>
      </c>
      <c r="H304" t="s">
        <v>88</v>
      </c>
      <c r="I304">
        <v>0</v>
      </c>
      <c r="Z304" t="str">
        <f>_xlfn.TEXTJOIN(",",TRUE,Table1[[#This Row],[Col5]],Table1[[#This Row],[Col4]],Table1[[#This Row],[Col3]],Table1[[#This Row],[Col2]],Table1[[#This Row],[Col1]])</f>
        <v/>
      </c>
      <c r="AY304" t="s">
        <v>66</v>
      </c>
      <c r="AZ304" t="s">
        <v>125</v>
      </c>
      <c r="BA304" t="s">
        <v>66</v>
      </c>
      <c r="BB304" t="s">
        <v>81</v>
      </c>
      <c r="BC304" t="s">
        <v>81</v>
      </c>
      <c r="BD304" t="s">
        <v>81</v>
      </c>
      <c r="BE304" t="s">
        <v>81</v>
      </c>
      <c r="BF304" t="s">
        <v>81</v>
      </c>
      <c r="BG304" t="s">
        <v>81</v>
      </c>
      <c r="BH304" t="s">
        <v>81</v>
      </c>
    </row>
    <row r="305" spans="1:60" x14ac:dyDescent="0.35">
      <c r="A305">
        <v>44</v>
      </c>
      <c r="B305" t="str" cm="1">
        <f t="array" ref="B305">_xlfn.IFS(A305&lt;=25,"18-25",A305&lt;=33,"26-33",A305&lt;=41,"34-41",A305&lt;=49,"42-49",A305&gt;49,"50 or above")</f>
        <v>42-49</v>
      </c>
      <c r="C305" t="s">
        <v>89</v>
      </c>
      <c r="D305" t="s">
        <v>63</v>
      </c>
      <c r="E305" t="s">
        <v>86</v>
      </c>
      <c r="F305" t="s">
        <v>87</v>
      </c>
      <c r="G305" t="s">
        <v>66</v>
      </c>
      <c r="H305" t="s">
        <v>88</v>
      </c>
      <c r="I305">
        <v>0</v>
      </c>
      <c r="Z305" t="str">
        <f>_xlfn.TEXTJOIN(",",TRUE,Table1[[#This Row],[Col5]],Table1[[#This Row],[Col4]],Table1[[#This Row],[Col3]],Table1[[#This Row],[Col2]],Table1[[#This Row],[Col1]])</f>
        <v/>
      </c>
      <c r="AR305" t="s">
        <v>118</v>
      </c>
      <c r="AY305" t="s">
        <v>66</v>
      </c>
      <c r="AZ305" t="s">
        <v>66</v>
      </c>
      <c r="BA305" t="s">
        <v>66</v>
      </c>
      <c r="BB305" t="s">
        <v>80</v>
      </c>
      <c r="BC305" t="s">
        <v>80</v>
      </c>
      <c r="BD305" t="s">
        <v>80</v>
      </c>
      <c r="BE305" t="s">
        <v>80</v>
      </c>
      <c r="BF305" t="s">
        <v>78</v>
      </c>
      <c r="BG305" t="s">
        <v>80</v>
      </c>
      <c r="BH305" t="s">
        <v>78</v>
      </c>
    </row>
    <row r="306" spans="1:60" x14ac:dyDescent="0.35">
      <c r="A306">
        <v>44</v>
      </c>
      <c r="B306" t="str" cm="1">
        <f t="array" ref="B306">_xlfn.IFS(A306&lt;=25,"18-25",A306&lt;=33,"26-33",A306&lt;=41,"34-41",A306&lt;=49,"42-49",A306&gt;49,"50 or above")</f>
        <v>42-49</v>
      </c>
      <c r="C306" t="s">
        <v>89</v>
      </c>
      <c r="D306" t="s">
        <v>63</v>
      </c>
      <c r="E306" t="s">
        <v>109</v>
      </c>
      <c r="F306" t="s">
        <v>102</v>
      </c>
      <c r="G306" t="s">
        <v>66</v>
      </c>
      <c r="H306" t="s">
        <v>88</v>
      </c>
      <c r="I306">
        <v>0</v>
      </c>
      <c r="Z306" t="str">
        <f>_xlfn.TEXTJOIN(",",TRUE,Table1[[#This Row],[Col5]],Table1[[#This Row],[Col4]],Table1[[#This Row],[Col3]],Table1[[#This Row],[Col2]],Table1[[#This Row],[Col1]])</f>
        <v/>
      </c>
      <c r="AU306" t="s">
        <v>145</v>
      </c>
      <c r="AY306" t="s">
        <v>66</v>
      </c>
      <c r="AZ306" t="s">
        <v>66</v>
      </c>
      <c r="BA306" t="s">
        <v>66</v>
      </c>
      <c r="BB306" t="s">
        <v>80</v>
      </c>
      <c r="BC306" t="s">
        <v>80</v>
      </c>
      <c r="BD306" t="s">
        <v>80</v>
      </c>
      <c r="BE306" t="s">
        <v>80</v>
      </c>
      <c r="BF306" t="s">
        <v>81</v>
      </c>
      <c r="BG306" t="s">
        <v>80</v>
      </c>
      <c r="BH306" t="s">
        <v>78</v>
      </c>
    </row>
    <row r="307" spans="1:60" x14ac:dyDescent="0.35">
      <c r="A307">
        <v>51</v>
      </c>
      <c r="B307" t="str" cm="1">
        <f t="array" ref="B307">_xlfn.IFS(A307&lt;=25,"18-25",A307&lt;=33,"26-33",A307&lt;=41,"34-41",A307&lt;=49,"42-49",A307&gt;49,"50 or above")</f>
        <v>50 or above</v>
      </c>
      <c r="C307" t="s">
        <v>89</v>
      </c>
      <c r="D307" t="s">
        <v>119</v>
      </c>
      <c r="E307" t="s">
        <v>121</v>
      </c>
      <c r="F307" t="s">
        <v>87</v>
      </c>
      <c r="G307" t="s">
        <v>66</v>
      </c>
      <c r="H307" t="s">
        <v>88</v>
      </c>
      <c r="I307">
        <v>0</v>
      </c>
      <c r="Z307" t="str">
        <f>_xlfn.TEXTJOIN(",",TRUE,Table1[[#This Row],[Col5]],Table1[[#This Row],[Col4]],Table1[[#This Row],[Col3]],Table1[[#This Row],[Col2]],Table1[[#This Row],[Col1]])</f>
        <v/>
      </c>
      <c r="AW307" t="s">
        <v>151</v>
      </c>
      <c r="AY307" t="s">
        <v>125</v>
      </c>
      <c r="AZ307" t="s">
        <v>88</v>
      </c>
      <c r="BA307" t="s">
        <v>66</v>
      </c>
      <c r="BB307" t="s">
        <v>81</v>
      </c>
      <c r="BC307" t="s">
        <v>81</v>
      </c>
      <c r="BD307" t="s">
        <v>81</v>
      </c>
      <c r="BE307" t="s">
        <v>81</v>
      </c>
      <c r="BF307" t="s">
        <v>81</v>
      </c>
      <c r="BG307" t="s">
        <v>81</v>
      </c>
      <c r="BH307" t="s">
        <v>81</v>
      </c>
    </row>
    <row r="308" spans="1:60" x14ac:dyDescent="0.35">
      <c r="A308">
        <v>39</v>
      </c>
      <c r="B308" t="str" cm="1">
        <f t="array" ref="B308">_xlfn.IFS(A308&lt;=25,"18-25",A308&lt;=33,"26-33",A308&lt;=41,"34-41",A308&lt;=49,"42-49",A308&gt;49,"50 or above")</f>
        <v>34-41</v>
      </c>
      <c r="C308" t="s">
        <v>89</v>
      </c>
      <c r="D308" t="s">
        <v>63</v>
      </c>
      <c r="E308" t="s">
        <v>86</v>
      </c>
      <c r="F308" t="s">
        <v>87</v>
      </c>
      <c r="G308" t="s">
        <v>66</v>
      </c>
      <c r="H308" t="s">
        <v>88</v>
      </c>
      <c r="I308">
        <v>0</v>
      </c>
      <c r="Z308" t="str">
        <f>_xlfn.TEXTJOIN(",",TRUE,Table1[[#This Row],[Col5]],Table1[[#This Row],[Col4]],Table1[[#This Row],[Col3]],Table1[[#This Row],[Col2]],Table1[[#This Row],[Col1]])</f>
        <v/>
      </c>
      <c r="AU308" t="s">
        <v>145</v>
      </c>
      <c r="AY308" t="s">
        <v>66</v>
      </c>
      <c r="AZ308" t="s">
        <v>88</v>
      </c>
      <c r="BA308" t="s">
        <v>66</v>
      </c>
      <c r="BB308" t="s">
        <v>81</v>
      </c>
      <c r="BC308" t="s">
        <v>81</v>
      </c>
      <c r="BD308" t="s">
        <v>81</v>
      </c>
      <c r="BE308" t="s">
        <v>81</v>
      </c>
      <c r="BF308" t="s">
        <v>81</v>
      </c>
      <c r="BG308" t="s">
        <v>81</v>
      </c>
      <c r="BH308" t="s">
        <v>81</v>
      </c>
    </row>
    <row r="309" spans="1:60" x14ac:dyDescent="0.35">
      <c r="A309">
        <v>58</v>
      </c>
      <c r="B309" t="str" cm="1">
        <f t="array" ref="B309">_xlfn.IFS(A309&lt;=25,"18-25",A309&lt;=33,"26-33",A309&lt;=41,"34-41",A309&lt;=49,"42-49",A309&gt;49,"50 or above")</f>
        <v>50 or above</v>
      </c>
      <c r="C309" t="s">
        <v>89</v>
      </c>
      <c r="D309" t="s">
        <v>120</v>
      </c>
      <c r="E309" t="s">
        <v>121</v>
      </c>
      <c r="F309" t="s">
        <v>102</v>
      </c>
      <c r="G309" t="s">
        <v>88</v>
      </c>
      <c r="H309" t="s">
        <v>88</v>
      </c>
      <c r="I309">
        <v>0</v>
      </c>
      <c r="Z309" t="str">
        <f>_xlfn.TEXTJOIN(",",TRUE,Table1[[#This Row],[Col5]],Table1[[#This Row],[Col4]],Table1[[#This Row],[Col3]],Table1[[#This Row],[Col2]],Table1[[#This Row],[Col1]])</f>
        <v/>
      </c>
      <c r="AQ309" t="s">
        <v>85</v>
      </c>
      <c r="AR309" t="s">
        <v>118</v>
      </c>
      <c r="AY309" t="s">
        <v>88</v>
      </c>
      <c r="AZ309" t="s">
        <v>88</v>
      </c>
      <c r="BA309" t="s">
        <v>88</v>
      </c>
      <c r="BB309" t="s">
        <v>81</v>
      </c>
      <c r="BC309" t="s">
        <v>81</v>
      </c>
      <c r="BD309" t="s">
        <v>81</v>
      </c>
      <c r="BE309" t="s">
        <v>81</v>
      </c>
      <c r="BF309" t="s">
        <v>81</v>
      </c>
      <c r="BG309" t="s">
        <v>81</v>
      </c>
      <c r="BH309" t="s">
        <v>81</v>
      </c>
    </row>
    <row r="310" spans="1:60" x14ac:dyDescent="0.35">
      <c r="A310">
        <v>46</v>
      </c>
      <c r="B310" t="str" cm="1">
        <f t="array" ref="B310">_xlfn.IFS(A310&lt;=25,"18-25",A310&lt;=33,"26-33",A310&lt;=41,"34-41",A310&lt;=49,"42-49",A310&gt;49,"50 or above")</f>
        <v>42-49</v>
      </c>
      <c r="C310" t="s">
        <v>89</v>
      </c>
      <c r="D310" t="s">
        <v>63</v>
      </c>
      <c r="E310" t="s">
        <v>86</v>
      </c>
      <c r="F310" t="s">
        <v>87</v>
      </c>
      <c r="G310" t="s">
        <v>66</v>
      </c>
      <c r="H310" t="s">
        <v>88</v>
      </c>
      <c r="I310">
        <v>0</v>
      </c>
      <c r="Z310" t="str">
        <f>_xlfn.TEXTJOIN(",",TRUE,Table1[[#This Row],[Col5]],Table1[[#This Row],[Col4]],Table1[[#This Row],[Col3]],Table1[[#This Row],[Col2]],Table1[[#This Row],[Col1]])</f>
        <v/>
      </c>
      <c r="AW310" t="s">
        <v>151</v>
      </c>
      <c r="AY310" t="s">
        <v>125</v>
      </c>
      <c r="AZ310" t="s">
        <v>125</v>
      </c>
      <c r="BA310" t="s">
        <v>66</v>
      </c>
      <c r="BB310" t="s">
        <v>80</v>
      </c>
      <c r="BC310" t="s">
        <v>80</v>
      </c>
      <c r="BD310" t="s">
        <v>80</v>
      </c>
      <c r="BE310" t="s">
        <v>80</v>
      </c>
      <c r="BF310" t="s">
        <v>81</v>
      </c>
      <c r="BG310" t="s">
        <v>80</v>
      </c>
      <c r="BH310" t="s">
        <v>78</v>
      </c>
    </row>
    <row r="311" spans="1:60" x14ac:dyDescent="0.35">
      <c r="A311">
        <v>31</v>
      </c>
      <c r="B311" t="str" cm="1">
        <f t="array" ref="B311">_xlfn.IFS(A311&lt;=25,"18-25",A311&lt;=33,"26-33",A311&lt;=41,"34-41",A311&lt;=49,"42-49",A311&gt;49,"50 or above")</f>
        <v>26-33</v>
      </c>
      <c r="C311" t="s">
        <v>89</v>
      </c>
      <c r="D311" t="s">
        <v>105</v>
      </c>
      <c r="E311" t="s">
        <v>86</v>
      </c>
      <c r="F311" t="s">
        <v>65</v>
      </c>
      <c r="G311" t="s">
        <v>66</v>
      </c>
      <c r="H311" t="s">
        <v>88</v>
      </c>
      <c r="I311">
        <v>0</v>
      </c>
      <c r="Z311" t="str">
        <f>_xlfn.TEXTJOIN(",",TRUE,Table1[[#This Row],[Col5]],Table1[[#This Row],[Col4]],Table1[[#This Row],[Col3]],Table1[[#This Row],[Col2]],Table1[[#This Row],[Col1]])</f>
        <v/>
      </c>
      <c r="AU311" t="s">
        <v>145</v>
      </c>
      <c r="AY311" t="s">
        <v>66</v>
      </c>
      <c r="AZ311" t="s">
        <v>66</v>
      </c>
      <c r="BA311" t="s">
        <v>66</v>
      </c>
      <c r="BB311" t="s">
        <v>80</v>
      </c>
      <c r="BC311" t="s">
        <v>80</v>
      </c>
      <c r="BD311" t="s">
        <v>80</v>
      </c>
      <c r="BE311" t="s">
        <v>80</v>
      </c>
      <c r="BF311" t="s">
        <v>81</v>
      </c>
      <c r="BG311" t="s">
        <v>80</v>
      </c>
      <c r="BH311" t="s">
        <v>78</v>
      </c>
    </row>
    <row r="312" spans="1:60" x14ac:dyDescent="0.35">
      <c r="A312">
        <v>62</v>
      </c>
      <c r="B312" t="str" cm="1">
        <f t="array" ref="B312">_xlfn.IFS(A312&lt;=25,"18-25",A312&lt;=33,"26-33",A312&lt;=41,"34-41",A312&lt;=49,"42-49",A312&gt;49,"50 or above")</f>
        <v>50 or above</v>
      </c>
      <c r="C312" t="s">
        <v>89</v>
      </c>
      <c r="D312" t="s">
        <v>119</v>
      </c>
      <c r="E312" t="s">
        <v>121</v>
      </c>
      <c r="F312" t="s">
        <v>102</v>
      </c>
      <c r="G312" t="s">
        <v>88</v>
      </c>
      <c r="H312" t="s">
        <v>88</v>
      </c>
      <c r="I312">
        <v>0</v>
      </c>
      <c r="Z312" t="str">
        <f>_xlfn.TEXTJOIN(",",TRUE,Table1[[#This Row],[Col5]],Table1[[#This Row],[Col4]],Table1[[#This Row],[Col3]],Table1[[#This Row],[Col2]],Table1[[#This Row],[Col1]])</f>
        <v/>
      </c>
      <c r="AR312" t="s">
        <v>118</v>
      </c>
      <c r="AY312" t="s">
        <v>88</v>
      </c>
      <c r="AZ312" t="s">
        <v>88</v>
      </c>
      <c r="BA312" t="s">
        <v>88</v>
      </c>
      <c r="BB312" t="s">
        <v>81</v>
      </c>
      <c r="BC312" t="s">
        <v>81</v>
      </c>
      <c r="BD312" t="s">
        <v>81</v>
      </c>
      <c r="BE312" t="s">
        <v>81</v>
      </c>
      <c r="BF312" t="s">
        <v>81</v>
      </c>
      <c r="BG312" t="s">
        <v>81</v>
      </c>
      <c r="BH312" t="s">
        <v>81</v>
      </c>
    </row>
    <row r="313" spans="1:60" x14ac:dyDescent="0.35">
      <c r="A313">
        <v>55</v>
      </c>
      <c r="B313" t="str" cm="1">
        <f t="array" ref="B313">_xlfn.IFS(A313&lt;=25,"18-25",A313&lt;=33,"26-33",A313&lt;=41,"34-41",A313&lt;=49,"42-49",A313&gt;49,"50 or above")</f>
        <v>50 or above</v>
      </c>
      <c r="C313" t="s">
        <v>89</v>
      </c>
      <c r="D313" t="s">
        <v>63</v>
      </c>
      <c r="E313" t="s">
        <v>86</v>
      </c>
      <c r="F313" t="s">
        <v>87</v>
      </c>
      <c r="G313" t="s">
        <v>66</v>
      </c>
      <c r="H313" t="s">
        <v>88</v>
      </c>
      <c r="I313">
        <v>0</v>
      </c>
      <c r="Z313" t="str">
        <f>_xlfn.TEXTJOIN(",",TRUE,Table1[[#This Row],[Col5]],Table1[[#This Row],[Col4]],Table1[[#This Row],[Col3]],Table1[[#This Row],[Col2]],Table1[[#This Row],[Col1]])</f>
        <v/>
      </c>
      <c r="AW313" t="s">
        <v>151</v>
      </c>
      <c r="AY313" t="s">
        <v>125</v>
      </c>
      <c r="AZ313" t="s">
        <v>66</v>
      </c>
      <c r="BA313" t="s">
        <v>66</v>
      </c>
      <c r="BB313" t="s">
        <v>80</v>
      </c>
      <c r="BC313" t="s">
        <v>80</v>
      </c>
      <c r="BD313" t="s">
        <v>80</v>
      </c>
      <c r="BE313" t="s">
        <v>80</v>
      </c>
      <c r="BF313" t="s">
        <v>81</v>
      </c>
      <c r="BG313" t="s">
        <v>78</v>
      </c>
      <c r="BH313" t="s">
        <v>78</v>
      </c>
    </row>
    <row r="314" spans="1:60" x14ac:dyDescent="0.35">
      <c r="A314">
        <v>41</v>
      </c>
      <c r="B314" t="str" cm="1">
        <f t="array" ref="B314">_xlfn.IFS(A314&lt;=25,"18-25",A314&lt;=33,"26-33",A314&lt;=41,"34-41",A314&lt;=49,"42-49",A314&gt;49,"50 or above")</f>
        <v>34-41</v>
      </c>
      <c r="C314" t="s">
        <v>89</v>
      </c>
      <c r="D314" t="s">
        <v>116</v>
      </c>
      <c r="E314" t="s">
        <v>86</v>
      </c>
      <c r="F314" t="s">
        <v>87</v>
      </c>
      <c r="G314" t="s">
        <v>66</v>
      </c>
      <c r="H314" t="s">
        <v>88</v>
      </c>
      <c r="I314">
        <v>0</v>
      </c>
      <c r="Z314" t="str">
        <f>_xlfn.TEXTJOIN(",",TRUE,Table1[[#This Row],[Col5]],Table1[[#This Row],[Col4]],Table1[[#This Row],[Col3]],Table1[[#This Row],[Col2]],Table1[[#This Row],[Col1]])</f>
        <v/>
      </c>
      <c r="AU314" t="s">
        <v>145</v>
      </c>
      <c r="AY314" t="s">
        <v>66</v>
      </c>
      <c r="AZ314" t="s">
        <v>66</v>
      </c>
      <c r="BA314" t="s">
        <v>66</v>
      </c>
      <c r="BB314" t="s">
        <v>78</v>
      </c>
      <c r="BC314" t="s">
        <v>78</v>
      </c>
      <c r="BD314" t="s">
        <v>78</v>
      </c>
      <c r="BE314" t="s">
        <v>78</v>
      </c>
      <c r="BF314" t="s">
        <v>81</v>
      </c>
      <c r="BG314" t="s">
        <v>78</v>
      </c>
      <c r="BH314" t="s">
        <v>78</v>
      </c>
    </row>
    <row r="315" spans="1:60" x14ac:dyDescent="0.35">
      <c r="A315">
        <v>68</v>
      </c>
      <c r="B315" t="str" cm="1">
        <f t="array" ref="B315">_xlfn.IFS(A315&lt;=25,"18-25",A315&lt;=33,"26-33",A315&lt;=41,"34-41",A315&lt;=49,"42-49",A315&gt;49,"50 or above")</f>
        <v>50 or above</v>
      </c>
      <c r="C315" t="s">
        <v>89</v>
      </c>
      <c r="D315" t="s">
        <v>119</v>
      </c>
      <c r="E315" t="s">
        <v>121</v>
      </c>
      <c r="F315" t="s">
        <v>102</v>
      </c>
      <c r="G315" t="s">
        <v>88</v>
      </c>
      <c r="H315" t="s">
        <v>88</v>
      </c>
      <c r="I315">
        <v>0</v>
      </c>
      <c r="Z315" t="str">
        <f>_xlfn.TEXTJOIN(",",TRUE,Table1[[#This Row],[Col5]],Table1[[#This Row],[Col4]],Table1[[#This Row],[Col3]],Table1[[#This Row],[Col2]],Table1[[#This Row],[Col1]])</f>
        <v/>
      </c>
      <c r="AY315" t="s">
        <v>88</v>
      </c>
      <c r="AZ315" t="s">
        <v>88</v>
      </c>
      <c r="BA315" t="s">
        <v>88</v>
      </c>
      <c r="BB315" t="s">
        <v>81</v>
      </c>
      <c r="BC315" t="s">
        <v>81</v>
      </c>
      <c r="BD315" t="s">
        <v>81</v>
      </c>
      <c r="BE315" t="s">
        <v>81</v>
      </c>
      <c r="BF315" t="s">
        <v>81</v>
      </c>
      <c r="BG315" t="s">
        <v>81</v>
      </c>
      <c r="BH315" t="s">
        <v>81</v>
      </c>
    </row>
    <row r="316" spans="1:60" x14ac:dyDescent="0.35">
      <c r="A316">
        <v>27</v>
      </c>
      <c r="B316" t="str" cm="1">
        <f t="array" ref="B316">_xlfn.IFS(A316&lt;=25,"18-25",A316&lt;=33,"26-33",A316&lt;=41,"34-41",A316&lt;=49,"42-49",A316&gt;49,"50 or above")</f>
        <v>26-33</v>
      </c>
      <c r="C316" t="s">
        <v>89</v>
      </c>
      <c r="D316" t="s">
        <v>63</v>
      </c>
      <c r="E316" t="s">
        <v>64</v>
      </c>
      <c r="F316" t="s">
        <v>87</v>
      </c>
      <c r="G316" t="s">
        <v>66</v>
      </c>
      <c r="H316" t="s">
        <v>88</v>
      </c>
      <c r="I316">
        <v>0</v>
      </c>
      <c r="Z316" t="str">
        <f>_xlfn.TEXTJOIN(",",TRUE,Table1[[#This Row],[Col5]],Table1[[#This Row],[Col4]],Table1[[#This Row],[Col3]],Table1[[#This Row],[Col2]],Table1[[#This Row],[Col1]])</f>
        <v/>
      </c>
      <c r="AW316" t="s">
        <v>151</v>
      </c>
      <c r="AY316" t="s">
        <v>66</v>
      </c>
      <c r="AZ316" t="s">
        <v>66</v>
      </c>
      <c r="BA316" t="s">
        <v>66</v>
      </c>
      <c r="BB316" t="s">
        <v>81</v>
      </c>
      <c r="BC316" t="s">
        <v>81</v>
      </c>
      <c r="BD316" t="s">
        <v>81</v>
      </c>
      <c r="BE316" t="s">
        <v>81</v>
      </c>
      <c r="BF316" t="s">
        <v>78</v>
      </c>
      <c r="BG316" t="s">
        <v>81</v>
      </c>
      <c r="BH316" t="s">
        <v>81</v>
      </c>
    </row>
    <row r="317" spans="1:60" x14ac:dyDescent="0.35">
      <c r="A317">
        <v>49</v>
      </c>
      <c r="B317" t="str" cm="1">
        <f t="array" ref="B317">_xlfn.IFS(A317&lt;=25,"18-25",A317&lt;=33,"26-33",A317&lt;=41,"34-41",A317&lt;=49,"42-49",A317&gt;49,"50 or above")</f>
        <v>42-49</v>
      </c>
      <c r="C317" t="s">
        <v>89</v>
      </c>
      <c r="D317" t="s">
        <v>63</v>
      </c>
      <c r="E317" t="s">
        <v>86</v>
      </c>
      <c r="F317" t="s">
        <v>87</v>
      </c>
      <c r="G317" t="s">
        <v>66</v>
      </c>
      <c r="H317" t="s">
        <v>88</v>
      </c>
      <c r="I317">
        <v>0</v>
      </c>
      <c r="Z317" t="str">
        <f>_xlfn.TEXTJOIN(",",TRUE,Table1[[#This Row],[Col5]],Table1[[#This Row],[Col4]],Table1[[#This Row],[Col3]],Table1[[#This Row],[Col2]],Table1[[#This Row],[Col1]])</f>
        <v/>
      </c>
      <c r="AW317" t="s">
        <v>151</v>
      </c>
      <c r="AY317" t="s">
        <v>66</v>
      </c>
      <c r="AZ317" t="s">
        <v>125</v>
      </c>
      <c r="BA317" t="s">
        <v>66</v>
      </c>
      <c r="BB317" t="s">
        <v>80</v>
      </c>
      <c r="BC317" t="s">
        <v>80</v>
      </c>
      <c r="BD317" t="s">
        <v>80</v>
      </c>
      <c r="BE317" t="s">
        <v>80</v>
      </c>
      <c r="BF317" t="s">
        <v>81</v>
      </c>
      <c r="BG317" t="s">
        <v>80</v>
      </c>
      <c r="BH317" t="s">
        <v>78</v>
      </c>
    </row>
    <row r="318" spans="1:60" x14ac:dyDescent="0.35">
      <c r="A318">
        <v>59</v>
      </c>
      <c r="B318" t="str" cm="1">
        <f t="array" ref="B318">_xlfn.IFS(A318&lt;=25,"18-25",A318&lt;=33,"26-33",A318&lt;=41,"34-41",A318&lt;=49,"42-49",A318&gt;49,"50 or above")</f>
        <v>50 or above</v>
      </c>
      <c r="C318" t="s">
        <v>89</v>
      </c>
      <c r="D318" t="s">
        <v>119</v>
      </c>
      <c r="E318" t="s">
        <v>121</v>
      </c>
      <c r="F318" t="s">
        <v>65</v>
      </c>
      <c r="G318" t="s">
        <v>66</v>
      </c>
      <c r="H318" t="s">
        <v>88</v>
      </c>
      <c r="I318">
        <v>0</v>
      </c>
      <c r="Z318" t="str">
        <f>_xlfn.TEXTJOIN(",",TRUE,Table1[[#This Row],[Col5]],Table1[[#This Row],[Col4]],Table1[[#This Row],[Col3]],Table1[[#This Row],[Col2]],Table1[[#This Row],[Col1]])</f>
        <v/>
      </c>
      <c r="AO318" t="s">
        <v>141</v>
      </c>
      <c r="AR318" t="s">
        <v>118</v>
      </c>
      <c r="AT318" t="s">
        <v>137</v>
      </c>
      <c r="AY318" t="s">
        <v>66</v>
      </c>
      <c r="AZ318" t="s">
        <v>88</v>
      </c>
      <c r="BA318" t="s">
        <v>66</v>
      </c>
      <c r="BB318" t="s">
        <v>81</v>
      </c>
      <c r="BC318" t="s">
        <v>81</v>
      </c>
      <c r="BD318" t="s">
        <v>81</v>
      </c>
      <c r="BE318" t="s">
        <v>81</v>
      </c>
      <c r="BF318" t="s">
        <v>81</v>
      </c>
      <c r="BG318" t="s">
        <v>81</v>
      </c>
      <c r="BH318" t="s">
        <v>81</v>
      </c>
    </row>
    <row r="319" spans="1:60" x14ac:dyDescent="0.35">
      <c r="A319">
        <v>36</v>
      </c>
      <c r="B319" t="str" cm="1">
        <f t="array" ref="B319">_xlfn.IFS(A319&lt;=25,"18-25",A319&lt;=33,"26-33",A319&lt;=41,"34-41",A319&lt;=49,"42-49",A319&gt;49,"50 or above")</f>
        <v>34-41</v>
      </c>
      <c r="C319" t="s">
        <v>89</v>
      </c>
      <c r="D319" t="s">
        <v>63</v>
      </c>
      <c r="E319" t="s">
        <v>86</v>
      </c>
      <c r="F319" t="s">
        <v>87</v>
      </c>
      <c r="G319" t="s">
        <v>66</v>
      </c>
      <c r="H319" t="s">
        <v>88</v>
      </c>
      <c r="I319">
        <v>0</v>
      </c>
      <c r="Z319" t="str">
        <f>_xlfn.TEXTJOIN(",",TRUE,Table1[[#This Row],[Col5]],Table1[[#This Row],[Col4]],Table1[[#This Row],[Col3]],Table1[[#This Row],[Col2]],Table1[[#This Row],[Col1]])</f>
        <v/>
      </c>
      <c r="AW319" t="s">
        <v>151</v>
      </c>
      <c r="AY319" t="s">
        <v>88</v>
      </c>
      <c r="AZ319" t="s">
        <v>88</v>
      </c>
      <c r="BA319" t="s">
        <v>88</v>
      </c>
      <c r="BB319" t="s">
        <v>79</v>
      </c>
      <c r="BC319" t="s">
        <v>79</v>
      </c>
      <c r="BD319" t="s">
        <v>81</v>
      </c>
      <c r="BE319" t="s">
        <v>79</v>
      </c>
      <c r="BF319" t="s">
        <v>81</v>
      </c>
      <c r="BG319" t="s">
        <v>79</v>
      </c>
      <c r="BH319" t="s">
        <v>80</v>
      </c>
    </row>
    <row r="320" spans="1:60" x14ac:dyDescent="0.35">
      <c r="A320">
        <v>45</v>
      </c>
      <c r="B320" t="str" cm="1">
        <f t="array" ref="B320">_xlfn.IFS(A320&lt;=25,"18-25",A320&lt;=33,"26-33",A320&lt;=41,"34-41",A320&lt;=49,"42-49",A320&gt;49,"50 or above")</f>
        <v>42-49</v>
      </c>
      <c r="C320" t="s">
        <v>89</v>
      </c>
      <c r="D320" t="s">
        <v>119</v>
      </c>
      <c r="E320" t="s">
        <v>121</v>
      </c>
      <c r="F320" t="s">
        <v>87</v>
      </c>
      <c r="G320" t="s">
        <v>66</v>
      </c>
      <c r="H320" t="s">
        <v>88</v>
      </c>
      <c r="I320">
        <v>0</v>
      </c>
      <c r="Z320" t="str">
        <f>_xlfn.TEXTJOIN(",",TRUE,Table1[[#This Row],[Col5]],Table1[[#This Row],[Col4]],Table1[[#This Row],[Col3]],Table1[[#This Row],[Col2]],Table1[[#This Row],[Col1]])</f>
        <v/>
      </c>
      <c r="AU320" t="s">
        <v>145</v>
      </c>
      <c r="AY320" t="s">
        <v>66</v>
      </c>
      <c r="AZ320" t="s">
        <v>88</v>
      </c>
      <c r="BA320" t="s">
        <v>66</v>
      </c>
      <c r="BB320" t="s">
        <v>81</v>
      </c>
      <c r="BC320" t="s">
        <v>81</v>
      </c>
      <c r="BD320" t="s">
        <v>81</v>
      </c>
      <c r="BE320" t="s">
        <v>81</v>
      </c>
      <c r="BF320" t="s">
        <v>81</v>
      </c>
      <c r="BG320" t="s">
        <v>81</v>
      </c>
      <c r="BH320" t="s">
        <v>81</v>
      </c>
    </row>
    <row r="321" spans="1:60" x14ac:dyDescent="0.35">
      <c r="A321">
        <v>52</v>
      </c>
      <c r="B321" t="str" cm="1">
        <f t="array" ref="B321">_xlfn.IFS(A321&lt;=25,"18-25",A321&lt;=33,"26-33",A321&lt;=41,"34-41",A321&lt;=49,"42-49",A321&gt;49,"50 or above")</f>
        <v>50 or above</v>
      </c>
      <c r="C321" t="s">
        <v>89</v>
      </c>
      <c r="D321" t="s">
        <v>63</v>
      </c>
      <c r="E321" t="s">
        <v>109</v>
      </c>
      <c r="F321" t="s">
        <v>65</v>
      </c>
      <c r="G321" t="s">
        <v>66</v>
      </c>
      <c r="H321" t="s">
        <v>88</v>
      </c>
      <c r="I321">
        <v>0</v>
      </c>
      <c r="Z321" t="str">
        <f>_xlfn.TEXTJOIN(",",TRUE,Table1[[#This Row],[Col5]],Table1[[#This Row],[Col4]],Table1[[#This Row],[Col3]],Table1[[#This Row],[Col2]],Table1[[#This Row],[Col1]])</f>
        <v/>
      </c>
      <c r="AU321" t="s">
        <v>145</v>
      </c>
      <c r="AY321" t="s">
        <v>125</v>
      </c>
      <c r="AZ321" t="s">
        <v>66</v>
      </c>
      <c r="BA321" t="s">
        <v>66</v>
      </c>
      <c r="BB321" t="s">
        <v>80</v>
      </c>
      <c r="BC321" t="s">
        <v>80</v>
      </c>
      <c r="BD321" t="s">
        <v>80</v>
      </c>
      <c r="BE321" t="s">
        <v>80</v>
      </c>
      <c r="BF321" t="s">
        <v>81</v>
      </c>
      <c r="BG321" t="s">
        <v>80</v>
      </c>
      <c r="BH321" t="s">
        <v>78</v>
      </c>
    </row>
    <row r="322" spans="1:60" x14ac:dyDescent="0.35">
      <c r="A322">
        <v>63</v>
      </c>
      <c r="B322" t="str" cm="1">
        <f t="array" ref="B322">_xlfn.IFS(A322&lt;=25,"18-25",A322&lt;=33,"26-33",A322&lt;=41,"34-41",A322&lt;=49,"42-49",A322&gt;49,"50 or above")</f>
        <v>50 or above</v>
      </c>
      <c r="C322" t="s">
        <v>89</v>
      </c>
      <c r="D322" t="s">
        <v>119</v>
      </c>
      <c r="E322" t="s">
        <v>121</v>
      </c>
      <c r="F322" t="s">
        <v>87</v>
      </c>
      <c r="G322" t="s">
        <v>88</v>
      </c>
      <c r="H322" t="s">
        <v>88</v>
      </c>
      <c r="I322">
        <v>0</v>
      </c>
      <c r="Z322" t="str">
        <f>_xlfn.TEXTJOIN(",",TRUE,Table1[[#This Row],[Col5]],Table1[[#This Row],[Col4]],Table1[[#This Row],[Col3]],Table1[[#This Row],[Col2]],Table1[[#This Row],[Col1]])</f>
        <v/>
      </c>
      <c r="AW322" t="s">
        <v>151</v>
      </c>
      <c r="AY322" t="s">
        <v>88</v>
      </c>
      <c r="AZ322" t="s">
        <v>88</v>
      </c>
      <c r="BA322" t="s">
        <v>88</v>
      </c>
      <c r="BB322" t="s">
        <v>81</v>
      </c>
      <c r="BC322" t="s">
        <v>81</v>
      </c>
      <c r="BD322" t="s">
        <v>81</v>
      </c>
      <c r="BE322" t="s">
        <v>81</v>
      </c>
      <c r="BF322" t="s">
        <v>81</v>
      </c>
      <c r="BG322" t="s">
        <v>81</v>
      </c>
      <c r="BH322" t="s">
        <v>81</v>
      </c>
    </row>
    <row r="323" spans="1:60" x14ac:dyDescent="0.35">
      <c r="A323">
        <v>33</v>
      </c>
      <c r="B323" t="str" cm="1">
        <f t="array" ref="B323">_xlfn.IFS(A323&lt;=25,"18-25",A323&lt;=33,"26-33",A323&lt;=41,"34-41",A323&lt;=49,"42-49",A323&gt;49,"50 or above")</f>
        <v>26-33</v>
      </c>
      <c r="C323" t="s">
        <v>89</v>
      </c>
      <c r="D323" t="s">
        <v>63</v>
      </c>
      <c r="E323" t="s">
        <v>86</v>
      </c>
      <c r="F323" t="s">
        <v>87</v>
      </c>
      <c r="G323" t="s">
        <v>66</v>
      </c>
      <c r="H323" t="s">
        <v>88</v>
      </c>
      <c r="I323">
        <v>0</v>
      </c>
      <c r="Z323" t="str">
        <f>_xlfn.TEXTJOIN(",",TRUE,Table1[[#This Row],[Col5]],Table1[[#This Row],[Col4]],Table1[[#This Row],[Col3]],Table1[[#This Row],[Col2]],Table1[[#This Row],[Col1]])</f>
        <v/>
      </c>
      <c r="AY323" t="s">
        <v>66</v>
      </c>
      <c r="AZ323" t="s">
        <v>88</v>
      </c>
      <c r="BA323" t="s">
        <v>66</v>
      </c>
      <c r="BB323" t="s">
        <v>81</v>
      </c>
      <c r="BC323" t="s">
        <v>81</v>
      </c>
      <c r="BD323" t="s">
        <v>81</v>
      </c>
      <c r="BE323" t="s">
        <v>81</v>
      </c>
      <c r="BF323" t="s">
        <v>81</v>
      </c>
      <c r="BG323" t="s">
        <v>81</v>
      </c>
      <c r="BH323" t="s">
        <v>81</v>
      </c>
    </row>
    <row r="324" spans="1:60" x14ac:dyDescent="0.35">
      <c r="A324">
        <v>40</v>
      </c>
      <c r="B324" t="str" cm="1">
        <f t="array" ref="B324">_xlfn.IFS(A324&lt;=25,"18-25",A324&lt;=33,"26-33",A324&lt;=41,"34-41",A324&lt;=49,"42-49",A324&gt;49,"50 or above")</f>
        <v>34-41</v>
      </c>
      <c r="C324" t="s">
        <v>89</v>
      </c>
      <c r="D324" t="s">
        <v>63</v>
      </c>
      <c r="E324" t="s">
        <v>86</v>
      </c>
      <c r="F324" t="s">
        <v>87</v>
      </c>
      <c r="G324" t="s">
        <v>66</v>
      </c>
      <c r="H324" t="s">
        <v>88</v>
      </c>
      <c r="I324">
        <v>0</v>
      </c>
      <c r="Z324" t="str">
        <f>_xlfn.TEXTJOIN(",",TRUE,Table1[[#This Row],[Col5]],Table1[[#This Row],[Col4]],Table1[[#This Row],[Col3]],Table1[[#This Row],[Col2]],Table1[[#This Row],[Col1]])</f>
        <v/>
      </c>
      <c r="AU324" t="s">
        <v>145</v>
      </c>
      <c r="AY324" t="s">
        <v>88</v>
      </c>
      <c r="AZ324" t="s">
        <v>88</v>
      </c>
      <c r="BA324" t="s">
        <v>66</v>
      </c>
      <c r="BB324" t="s">
        <v>81</v>
      </c>
      <c r="BC324" t="s">
        <v>81</v>
      </c>
      <c r="BD324" t="s">
        <v>81</v>
      </c>
      <c r="BE324" t="s">
        <v>81</v>
      </c>
      <c r="BF324" t="s">
        <v>81</v>
      </c>
      <c r="BG324" t="s">
        <v>81</v>
      </c>
      <c r="BH324" t="s">
        <v>81</v>
      </c>
    </row>
    <row r="325" spans="1:60" x14ac:dyDescent="0.35">
      <c r="A325">
        <v>60</v>
      </c>
      <c r="B325" t="str" cm="1">
        <f t="array" ref="B325">_xlfn.IFS(A325&lt;=25,"18-25",A325&lt;=33,"26-33",A325&lt;=41,"34-41",A325&lt;=49,"42-49",A325&gt;49,"50 or above")</f>
        <v>50 or above</v>
      </c>
      <c r="C325" t="s">
        <v>89</v>
      </c>
      <c r="D325" t="s">
        <v>120</v>
      </c>
      <c r="E325" t="s">
        <v>121</v>
      </c>
      <c r="F325" t="s">
        <v>102</v>
      </c>
      <c r="G325" t="s">
        <v>88</v>
      </c>
      <c r="H325" t="s">
        <v>88</v>
      </c>
      <c r="I325">
        <v>0</v>
      </c>
      <c r="Z325" t="str">
        <f>_xlfn.TEXTJOIN(",",TRUE,Table1[[#This Row],[Col5]],Table1[[#This Row],[Col4]],Table1[[#This Row],[Col3]],Table1[[#This Row],[Col2]],Table1[[#This Row],[Col1]])</f>
        <v/>
      </c>
      <c r="AU325" t="s">
        <v>145</v>
      </c>
      <c r="AY325" t="s">
        <v>88</v>
      </c>
      <c r="AZ325" t="s">
        <v>88</v>
      </c>
      <c r="BA325" t="s">
        <v>88</v>
      </c>
      <c r="BB325" t="s">
        <v>81</v>
      </c>
      <c r="BC325" t="s">
        <v>81</v>
      </c>
      <c r="BD325" t="s">
        <v>81</v>
      </c>
      <c r="BE325" t="s">
        <v>81</v>
      </c>
      <c r="BF325" t="s">
        <v>81</v>
      </c>
      <c r="BG325" t="s">
        <v>81</v>
      </c>
      <c r="BH325" t="s">
        <v>81</v>
      </c>
    </row>
    <row r="326" spans="1:60" x14ac:dyDescent="0.35">
      <c r="A326">
        <v>28</v>
      </c>
      <c r="B326" t="str" cm="1">
        <f t="array" ref="B326">_xlfn.IFS(A326&lt;=25,"18-25",A326&lt;=33,"26-33",A326&lt;=41,"34-41",A326&lt;=49,"42-49",A326&gt;49,"50 or above")</f>
        <v>26-33</v>
      </c>
      <c r="C326" t="s">
        <v>89</v>
      </c>
      <c r="D326" t="s">
        <v>63</v>
      </c>
      <c r="E326" t="s">
        <v>64</v>
      </c>
      <c r="F326" t="s">
        <v>87</v>
      </c>
      <c r="G326" t="s">
        <v>66</v>
      </c>
      <c r="H326" t="s">
        <v>88</v>
      </c>
      <c r="I326">
        <v>0</v>
      </c>
      <c r="Z326" t="str">
        <f>_xlfn.TEXTJOIN(",",TRUE,Table1[[#This Row],[Col5]],Table1[[#This Row],[Col4]],Table1[[#This Row],[Col3]],Table1[[#This Row],[Col2]],Table1[[#This Row],[Col1]])</f>
        <v/>
      </c>
      <c r="AX326" t="s">
        <v>149</v>
      </c>
      <c r="AY326" t="s">
        <v>66</v>
      </c>
      <c r="AZ326" t="s">
        <v>66</v>
      </c>
      <c r="BA326" t="s">
        <v>66</v>
      </c>
      <c r="BB326" t="s">
        <v>81</v>
      </c>
      <c r="BC326" t="s">
        <v>81</v>
      </c>
      <c r="BD326" t="s">
        <v>81</v>
      </c>
      <c r="BE326" t="s">
        <v>81</v>
      </c>
      <c r="BF326" t="s">
        <v>78</v>
      </c>
      <c r="BG326" t="s">
        <v>81</v>
      </c>
      <c r="BH326" t="s">
        <v>81</v>
      </c>
    </row>
    <row r="327" spans="1:60" x14ac:dyDescent="0.35">
      <c r="A327">
        <v>54</v>
      </c>
      <c r="B327" t="str" cm="1">
        <f t="array" ref="B327">_xlfn.IFS(A327&lt;=25,"18-25",A327&lt;=33,"26-33",A327&lt;=41,"34-41",A327&lt;=49,"42-49",A327&gt;49,"50 or above")</f>
        <v>50 or above</v>
      </c>
      <c r="C327" t="s">
        <v>89</v>
      </c>
      <c r="D327" t="s">
        <v>63</v>
      </c>
      <c r="E327" t="s">
        <v>121</v>
      </c>
      <c r="F327" t="s">
        <v>87</v>
      </c>
      <c r="G327" t="s">
        <v>66</v>
      </c>
      <c r="H327" t="s">
        <v>88</v>
      </c>
      <c r="I327">
        <v>0</v>
      </c>
      <c r="Z327" t="str">
        <f>_xlfn.TEXTJOIN(",",TRUE,Table1[[#This Row],[Col5]],Table1[[#This Row],[Col4]],Table1[[#This Row],[Col3]],Table1[[#This Row],[Col2]],Table1[[#This Row],[Col1]])</f>
        <v/>
      </c>
      <c r="AR327" t="s">
        <v>118</v>
      </c>
      <c r="AY327" t="s">
        <v>125</v>
      </c>
      <c r="AZ327" t="s">
        <v>125</v>
      </c>
      <c r="BA327" t="s">
        <v>66</v>
      </c>
      <c r="BB327" t="s">
        <v>80</v>
      </c>
      <c r="BC327" t="s">
        <v>80</v>
      </c>
      <c r="BD327" t="s">
        <v>80</v>
      </c>
      <c r="BE327" t="s">
        <v>80</v>
      </c>
      <c r="BF327" t="s">
        <v>81</v>
      </c>
      <c r="BG327" t="s">
        <v>80</v>
      </c>
      <c r="BH327" t="s">
        <v>78</v>
      </c>
    </row>
    <row r="328" spans="1:60" x14ac:dyDescent="0.35">
      <c r="A328">
        <v>43</v>
      </c>
      <c r="B328" t="str" cm="1">
        <f t="array" ref="B328">_xlfn.IFS(A328&lt;=25,"18-25",A328&lt;=33,"26-33",A328&lt;=41,"34-41",A328&lt;=49,"42-49",A328&gt;49,"50 or above")</f>
        <v>42-49</v>
      </c>
      <c r="C328" t="s">
        <v>89</v>
      </c>
      <c r="D328" t="s">
        <v>105</v>
      </c>
      <c r="E328" t="s">
        <v>86</v>
      </c>
      <c r="F328" t="s">
        <v>102</v>
      </c>
      <c r="G328" t="s">
        <v>66</v>
      </c>
      <c r="H328" t="s">
        <v>88</v>
      </c>
      <c r="I328">
        <v>0</v>
      </c>
      <c r="Z328" t="str">
        <f>_xlfn.TEXTJOIN(",",TRUE,Table1[[#This Row],[Col5]],Table1[[#This Row],[Col4]],Table1[[#This Row],[Col3]],Table1[[#This Row],[Col2]],Table1[[#This Row],[Col1]])</f>
        <v/>
      </c>
      <c r="AW328" t="s">
        <v>152</v>
      </c>
      <c r="AY328" t="s">
        <v>66</v>
      </c>
      <c r="AZ328" t="s">
        <v>66</v>
      </c>
      <c r="BA328" t="s">
        <v>66</v>
      </c>
      <c r="BB328" t="s">
        <v>78</v>
      </c>
      <c r="BC328" t="s">
        <v>78</v>
      </c>
      <c r="BD328" t="s">
        <v>78</v>
      </c>
      <c r="BE328" t="s">
        <v>78</v>
      </c>
      <c r="BF328" t="s">
        <v>81</v>
      </c>
      <c r="BG328" t="s">
        <v>78</v>
      </c>
      <c r="BH328" t="s">
        <v>78</v>
      </c>
    </row>
    <row r="329" spans="1:60" x14ac:dyDescent="0.35">
      <c r="A329">
        <v>66</v>
      </c>
      <c r="B329" t="str" cm="1">
        <f t="array" ref="B329">_xlfn.IFS(A329&lt;=25,"18-25",A329&lt;=33,"26-33",A329&lt;=41,"34-41",A329&lt;=49,"42-49",A329&gt;49,"50 or above")</f>
        <v>50 or above</v>
      </c>
      <c r="C329" t="s">
        <v>89</v>
      </c>
      <c r="D329" t="s">
        <v>120</v>
      </c>
      <c r="E329" t="s">
        <v>121</v>
      </c>
      <c r="F329" t="s">
        <v>65</v>
      </c>
      <c r="G329" t="s">
        <v>88</v>
      </c>
      <c r="H329" t="s">
        <v>88</v>
      </c>
      <c r="I329">
        <v>0</v>
      </c>
      <c r="Z329" t="str">
        <f>_xlfn.TEXTJOIN(",",TRUE,Table1[[#This Row],[Col5]],Table1[[#This Row],[Col4]],Table1[[#This Row],[Col3]],Table1[[#This Row],[Col2]],Table1[[#This Row],[Col1]])</f>
        <v/>
      </c>
      <c r="AU329" t="s">
        <v>145</v>
      </c>
      <c r="AY329" t="s">
        <v>88</v>
      </c>
      <c r="AZ329" t="s">
        <v>88</v>
      </c>
      <c r="BA329" t="s">
        <v>88</v>
      </c>
      <c r="BB329" t="s">
        <v>81</v>
      </c>
      <c r="BC329" t="s">
        <v>81</v>
      </c>
      <c r="BD329" t="s">
        <v>81</v>
      </c>
      <c r="BE329" t="s">
        <v>81</v>
      </c>
      <c r="BF329" t="s">
        <v>81</v>
      </c>
      <c r="BG329" t="s">
        <v>81</v>
      </c>
      <c r="BH329" t="s">
        <v>81</v>
      </c>
    </row>
    <row r="330" spans="1:60" x14ac:dyDescent="0.35">
      <c r="A330">
        <v>38</v>
      </c>
      <c r="B330" t="str" cm="1">
        <f t="array" ref="B330">_xlfn.IFS(A330&lt;=25,"18-25",A330&lt;=33,"26-33",A330&lt;=41,"34-41",A330&lt;=49,"42-49",A330&gt;49,"50 or above")</f>
        <v>34-41</v>
      </c>
      <c r="C330" t="s">
        <v>89</v>
      </c>
      <c r="D330" t="s">
        <v>63</v>
      </c>
      <c r="E330" t="s">
        <v>86</v>
      </c>
      <c r="F330" t="s">
        <v>102</v>
      </c>
      <c r="G330" t="s">
        <v>66</v>
      </c>
      <c r="H330" t="s">
        <v>88</v>
      </c>
      <c r="I330">
        <v>0</v>
      </c>
      <c r="Z330" t="str">
        <f>_xlfn.TEXTJOIN(",",TRUE,Table1[[#This Row],[Col5]],Table1[[#This Row],[Col4]],Table1[[#This Row],[Col3]],Table1[[#This Row],[Col2]],Table1[[#This Row],[Col1]])</f>
        <v/>
      </c>
      <c r="AW330" t="s">
        <v>152</v>
      </c>
      <c r="AY330" t="s">
        <v>66</v>
      </c>
      <c r="AZ330" t="s">
        <v>66</v>
      </c>
      <c r="BA330" t="s">
        <v>66</v>
      </c>
      <c r="BB330" t="s">
        <v>80</v>
      </c>
      <c r="BC330" t="s">
        <v>80</v>
      </c>
      <c r="BD330" t="s">
        <v>80</v>
      </c>
      <c r="BE330" t="s">
        <v>80</v>
      </c>
      <c r="BF330" t="s">
        <v>81</v>
      </c>
      <c r="BG330" t="s">
        <v>80</v>
      </c>
      <c r="BH330" t="s">
        <v>78</v>
      </c>
    </row>
    <row r="331" spans="1:60" x14ac:dyDescent="0.35">
      <c r="A331">
        <v>50</v>
      </c>
      <c r="B331" t="str" cm="1">
        <f t="array" ref="B331">_xlfn.IFS(A331&lt;=25,"18-25",A331&lt;=33,"26-33",A331&lt;=41,"34-41",A331&lt;=49,"42-49",A331&gt;49,"50 or above")</f>
        <v>50 or above</v>
      </c>
      <c r="C331" t="s">
        <v>89</v>
      </c>
      <c r="D331" t="s">
        <v>63</v>
      </c>
      <c r="E331" t="s">
        <v>109</v>
      </c>
      <c r="F331" t="s">
        <v>87</v>
      </c>
      <c r="G331" t="s">
        <v>66</v>
      </c>
      <c r="H331" t="s">
        <v>88</v>
      </c>
      <c r="I331">
        <v>0</v>
      </c>
      <c r="Z331" t="str">
        <f>_xlfn.TEXTJOIN(",",TRUE,Table1[[#This Row],[Col5]],Table1[[#This Row],[Col4]],Table1[[#This Row],[Col3]],Table1[[#This Row],[Col2]],Table1[[#This Row],[Col1]])</f>
        <v/>
      </c>
      <c r="AU331" t="s">
        <v>145</v>
      </c>
      <c r="AY331" t="s">
        <v>125</v>
      </c>
      <c r="AZ331" t="s">
        <v>88</v>
      </c>
      <c r="BA331" t="s">
        <v>66</v>
      </c>
      <c r="BB331" t="s">
        <v>79</v>
      </c>
      <c r="BC331" t="s">
        <v>79</v>
      </c>
      <c r="BD331" t="s">
        <v>79</v>
      </c>
      <c r="BE331" t="s">
        <v>79</v>
      </c>
      <c r="BF331" t="s">
        <v>81</v>
      </c>
      <c r="BG331" t="s">
        <v>79</v>
      </c>
      <c r="BH331" t="s">
        <v>80</v>
      </c>
    </row>
    <row r="332" spans="1:60" x14ac:dyDescent="0.35">
      <c r="A332">
        <v>35</v>
      </c>
      <c r="B332" t="str" cm="1">
        <f t="array" ref="B332">_xlfn.IFS(A332&lt;=25,"18-25",A332&lt;=33,"26-33",A332&lt;=41,"34-41",A332&lt;=49,"42-49",A332&gt;49,"50 or above")</f>
        <v>34-41</v>
      </c>
      <c r="C332" t="s">
        <v>89</v>
      </c>
      <c r="D332" t="s">
        <v>63</v>
      </c>
      <c r="E332" t="s">
        <v>86</v>
      </c>
      <c r="F332" t="s">
        <v>87</v>
      </c>
      <c r="G332" t="s">
        <v>66</v>
      </c>
      <c r="H332" t="s">
        <v>88</v>
      </c>
      <c r="I332">
        <v>0</v>
      </c>
      <c r="Z332" t="str">
        <f>_xlfn.TEXTJOIN(",",TRUE,Table1[[#This Row],[Col5]],Table1[[#This Row],[Col4]],Table1[[#This Row],[Col3]],Table1[[#This Row],[Col2]],Table1[[#This Row],[Col1]])</f>
        <v/>
      </c>
      <c r="AU332" t="s">
        <v>145</v>
      </c>
      <c r="AY332" t="s">
        <v>66</v>
      </c>
      <c r="AZ332" t="s">
        <v>88</v>
      </c>
      <c r="BA332" t="s">
        <v>66</v>
      </c>
      <c r="BB332" t="s">
        <v>81</v>
      </c>
      <c r="BC332" t="s">
        <v>81</v>
      </c>
      <c r="BD332" t="s">
        <v>81</v>
      </c>
      <c r="BE332" t="s">
        <v>81</v>
      </c>
      <c r="BF332" t="s">
        <v>81</v>
      </c>
      <c r="BG332" t="s">
        <v>81</v>
      </c>
      <c r="BH332" t="s">
        <v>81</v>
      </c>
    </row>
    <row r="333" spans="1:60" x14ac:dyDescent="0.35">
      <c r="A333">
        <v>64</v>
      </c>
      <c r="B333" t="str" cm="1">
        <f t="array" ref="B333">_xlfn.IFS(A333&lt;=25,"18-25",A333&lt;=33,"26-33",A333&lt;=41,"34-41",A333&lt;=49,"42-49",A333&gt;49,"50 or above")</f>
        <v>50 or above</v>
      </c>
      <c r="C333" t="s">
        <v>89</v>
      </c>
      <c r="D333" t="s">
        <v>120</v>
      </c>
      <c r="E333" t="s">
        <v>121</v>
      </c>
      <c r="F333" t="s">
        <v>87</v>
      </c>
      <c r="G333" t="s">
        <v>88</v>
      </c>
      <c r="H333" t="s">
        <v>88</v>
      </c>
      <c r="I333">
        <v>0</v>
      </c>
      <c r="Z333" t="str">
        <f>_xlfn.TEXTJOIN(",",TRUE,Table1[[#This Row],[Col5]],Table1[[#This Row],[Col4]],Table1[[#This Row],[Col3]],Table1[[#This Row],[Col2]],Table1[[#This Row],[Col1]])</f>
        <v/>
      </c>
      <c r="AU333" t="s">
        <v>145</v>
      </c>
      <c r="AY333" t="s">
        <v>88</v>
      </c>
      <c r="AZ333" t="s">
        <v>88</v>
      </c>
      <c r="BA333" t="s">
        <v>88</v>
      </c>
      <c r="BB333" t="s">
        <v>79</v>
      </c>
      <c r="BC333" t="s">
        <v>79</v>
      </c>
      <c r="BD333" t="s">
        <v>79</v>
      </c>
      <c r="BE333" t="s">
        <v>79</v>
      </c>
      <c r="BF333" t="s">
        <v>81</v>
      </c>
      <c r="BG333" t="s">
        <v>79</v>
      </c>
      <c r="BH333" t="s">
        <v>81</v>
      </c>
    </row>
    <row r="334" spans="1:60" x14ac:dyDescent="0.35">
      <c r="A334">
        <v>32</v>
      </c>
      <c r="B334" t="str" cm="1">
        <f t="array" ref="B334">_xlfn.IFS(A334&lt;=25,"18-25",A334&lt;=33,"26-33",A334&lt;=41,"34-41",A334&lt;=49,"42-49",A334&gt;49,"50 or above")</f>
        <v>26-33</v>
      </c>
      <c r="C334" t="s">
        <v>89</v>
      </c>
      <c r="D334" t="s">
        <v>63</v>
      </c>
      <c r="E334" t="s">
        <v>86</v>
      </c>
      <c r="F334" t="s">
        <v>90</v>
      </c>
      <c r="G334" t="s">
        <v>66</v>
      </c>
      <c r="H334" t="s">
        <v>88</v>
      </c>
      <c r="I334">
        <v>0</v>
      </c>
      <c r="Z334" t="str">
        <f>_xlfn.TEXTJOIN(",",TRUE,Table1[[#This Row],[Col5]],Table1[[#This Row],[Col4]],Table1[[#This Row],[Col3]],Table1[[#This Row],[Col2]],Table1[[#This Row],[Col1]])</f>
        <v/>
      </c>
      <c r="AO334" t="s">
        <v>83</v>
      </c>
      <c r="AY334" t="s">
        <v>125</v>
      </c>
      <c r="AZ334" t="s">
        <v>125</v>
      </c>
      <c r="BA334" t="s">
        <v>88</v>
      </c>
      <c r="BB334" t="s">
        <v>80</v>
      </c>
      <c r="BC334" t="s">
        <v>80</v>
      </c>
      <c r="BD334" t="s">
        <v>80</v>
      </c>
      <c r="BE334" t="s">
        <v>80</v>
      </c>
      <c r="BF334" t="s">
        <v>81</v>
      </c>
      <c r="BG334" t="s">
        <v>78</v>
      </c>
      <c r="BH334" t="s">
        <v>78</v>
      </c>
    </row>
    <row r="335" spans="1:60" x14ac:dyDescent="0.35">
      <c r="A335">
        <v>57</v>
      </c>
      <c r="B335" t="str" cm="1">
        <f t="array" ref="B335">_xlfn.IFS(A335&lt;=25,"18-25",A335&lt;=33,"26-33",A335&lt;=41,"34-41",A335&lt;=49,"42-49",A335&gt;49,"50 or above")</f>
        <v>50 or above</v>
      </c>
      <c r="C335" t="s">
        <v>89</v>
      </c>
      <c r="D335" t="s">
        <v>63</v>
      </c>
      <c r="E335" t="s">
        <v>109</v>
      </c>
      <c r="F335" t="s">
        <v>87</v>
      </c>
      <c r="G335" t="s">
        <v>66</v>
      </c>
      <c r="H335" t="s">
        <v>88</v>
      </c>
      <c r="I335">
        <v>0</v>
      </c>
      <c r="Z335" t="str">
        <f>_xlfn.TEXTJOIN(",",TRUE,Table1[[#This Row],[Col5]],Table1[[#This Row],[Col4]],Table1[[#This Row],[Col3]],Table1[[#This Row],[Col2]],Table1[[#This Row],[Col1]])</f>
        <v/>
      </c>
      <c r="AU335" t="s">
        <v>145</v>
      </c>
      <c r="AY335" t="s">
        <v>88</v>
      </c>
      <c r="AZ335" t="s">
        <v>125</v>
      </c>
      <c r="BA335" t="s">
        <v>66</v>
      </c>
      <c r="BB335" t="s">
        <v>81</v>
      </c>
      <c r="BC335" t="s">
        <v>81</v>
      </c>
      <c r="BD335" t="s">
        <v>81</v>
      </c>
      <c r="BE335" t="s">
        <v>81</v>
      </c>
      <c r="BF335" t="s">
        <v>81</v>
      </c>
      <c r="BG335" t="s">
        <v>81</v>
      </c>
      <c r="BH335" t="s">
        <v>81</v>
      </c>
    </row>
    <row r="336" spans="1:60" x14ac:dyDescent="0.35">
      <c r="A336">
        <v>41</v>
      </c>
      <c r="B336" t="str" cm="1">
        <f t="array" ref="B336">_xlfn.IFS(A336&lt;=25,"18-25",A336&lt;=33,"26-33",A336&lt;=41,"34-41",A336&lt;=49,"42-49",A336&gt;49,"50 or above")</f>
        <v>34-41</v>
      </c>
      <c r="C336" t="s">
        <v>89</v>
      </c>
      <c r="D336" t="s">
        <v>63</v>
      </c>
      <c r="E336" t="s">
        <v>86</v>
      </c>
      <c r="F336" t="s">
        <v>87</v>
      </c>
      <c r="G336" t="s">
        <v>66</v>
      </c>
      <c r="H336" t="s">
        <v>88</v>
      </c>
      <c r="I336">
        <v>0</v>
      </c>
      <c r="Z336" t="str">
        <f>_xlfn.TEXTJOIN(",",TRUE,Table1[[#This Row],[Col5]],Table1[[#This Row],[Col4]],Table1[[#This Row],[Col3]],Table1[[#This Row],[Col2]],Table1[[#This Row],[Col1]])</f>
        <v/>
      </c>
      <c r="AX336" t="s">
        <v>149</v>
      </c>
      <c r="AY336" t="s">
        <v>125</v>
      </c>
      <c r="AZ336" t="s">
        <v>125</v>
      </c>
      <c r="BA336" t="s">
        <v>88</v>
      </c>
      <c r="BB336" t="s">
        <v>81</v>
      </c>
      <c r="BC336" t="s">
        <v>81</v>
      </c>
      <c r="BD336" t="s">
        <v>81</v>
      </c>
      <c r="BE336" t="s">
        <v>81</v>
      </c>
      <c r="BF336" t="s">
        <v>78</v>
      </c>
      <c r="BG336" t="s">
        <v>81</v>
      </c>
      <c r="BH336" t="s">
        <v>81</v>
      </c>
    </row>
    <row r="337" spans="1:60" x14ac:dyDescent="0.35">
      <c r="A337">
        <v>41</v>
      </c>
      <c r="B337" t="str" cm="1">
        <f t="array" ref="B337">_xlfn.IFS(A337&lt;=25,"18-25",A337&lt;=33,"26-33",A337&lt;=41,"34-41",A337&lt;=49,"42-49",A337&gt;49,"50 or above")</f>
        <v>34-41</v>
      </c>
      <c r="C337" t="s">
        <v>89</v>
      </c>
      <c r="D337" t="s">
        <v>63</v>
      </c>
      <c r="E337" t="s">
        <v>86</v>
      </c>
      <c r="F337" t="s">
        <v>87</v>
      </c>
      <c r="G337" t="s">
        <v>66</v>
      </c>
      <c r="H337" t="s">
        <v>66</v>
      </c>
      <c r="I337">
        <v>1</v>
      </c>
      <c r="J337" t="s">
        <v>67</v>
      </c>
      <c r="P337" t="s">
        <v>67</v>
      </c>
      <c r="Q337" t="s">
        <v>98</v>
      </c>
      <c r="R337" t="s">
        <v>71</v>
      </c>
      <c r="S337" t="s">
        <v>72</v>
      </c>
      <c r="T337" t="s">
        <v>73</v>
      </c>
      <c r="U337" t="s">
        <v>153</v>
      </c>
      <c r="W337" t="s">
        <v>134</v>
      </c>
      <c r="Z337" t="str">
        <f>_xlfn.TEXTJOIN(",",TRUE,Table1[[#This Row],[Col5]],Table1[[#This Row],[Col4]],Table1[[#This Row],[Col3]],Table1[[#This Row],[Col2]],Table1[[#This Row],[Col1]])</f>
        <v xml:space="preserve">Daily Essentials,Groceries </v>
      </c>
      <c r="AA337" t="s">
        <v>80</v>
      </c>
      <c r="AB337" t="s">
        <v>80</v>
      </c>
      <c r="AC337" t="s">
        <v>80</v>
      </c>
      <c r="AD337" t="s">
        <v>80</v>
      </c>
      <c r="AE337" t="s">
        <v>80</v>
      </c>
      <c r="AF337" t="s">
        <v>80</v>
      </c>
      <c r="AG337" t="s">
        <v>80</v>
      </c>
      <c r="AH337" t="s">
        <v>80</v>
      </c>
      <c r="AI337" t="s">
        <v>81</v>
      </c>
      <c r="AJ337" t="s">
        <v>81</v>
      </c>
      <c r="AK337">
        <v>5</v>
      </c>
      <c r="AL337">
        <v>5</v>
      </c>
      <c r="AM337">
        <v>5</v>
      </c>
      <c r="AN337" t="s">
        <v>82</v>
      </c>
    </row>
    <row r="338" spans="1:60" x14ac:dyDescent="0.35">
      <c r="A338">
        <v>26</v>
      </c>
      <c r="B338" t="str" cm="1">
        <f t="array" ref="B338">_xlfn.IFS(A338&lt;=25,"18-25",A338&lt;=33,"26-33",A338&lt;=41,"34-41",A338&lt;=49,"42-49",A338&gt;49,"50 or above")</f>
        <v>26-33</v>
      </c>
      <c r="C338" t="s">
        <v>89</v>
      </c>
      <c r="D338" t="s">
        <v>63</v>
      </c>
      <c r="E338" t="s">
        <v>64</v>
      </c>
      <c r="F338" t="s">
        <v>87</v>
      </c>
      <c r="G338" t="s">
        <v>66</v>
      </c>
      <c r="H338" t="s">
        <v>88</v>
      </c>
      <c r="I338">
        <v>0</v>
      </c>
      <c r="Z338" t="str">
        <f>_xlfn.TEXTJOIN(",",TRUE,Table1[[#This Row],[Col5]],Table1[[#This Row],[Col4]],Table1[[#This Row],[Col3]],Table1[[#This Row],[Col2]],Table1[[#This Row],[Col1]])</f>
        <v/>
      </c>
      <c r="AX338" t="s">
        <v>149</v>
      </c>
      <c r="AY338" t="s">
        <v>66</v>
      </c>
      <c r="AZ338" t="s">
        <v>66</v>
      </c>
      <c r="BA338" t="s">
        <v>66</v>
      </c>
      <c r="BB338" t="s">
        <v>81</v>
      </c>
      <c r="BC338" t="s">
        <v>81</v>
      </c>
      <c r="BD338" t="s">
        <v>81</v>
      </c>
      <c r="BE338" t="s">
        <v>81</v>
      </c>
      <c r="BF338" t="s">
        <v>78</v>
      </c>
      <c r="BG338" t="s">
        <v>81</v>
      </c>
      <c r="BH338" t="s">
        <v>81</v>
      </c>
    </row>
    <row r="339" spans="1:60" x14ac:dyDescent="0.35">
      <c r="A339">
        <v>49</v>
      </c>
      <c r="B339" t="str" cm="1">
        <f t="array" ref="B339">_xlfn.IFS(A339&lt;=25,"18-25",A339&lt;=33,"26-33",A339&lt;=41,"34-41",A339&lt;=49,"42-49",A339&gt;49,"50 or above")</f>
        <v>42-49</v>
      </c>
      <c r="C339" t="s">
        <v>89</v>
      </c>
      <c r="D339" t="s">
        <v>63</v>
      </c>
      <c r="E339" t="s">
        <v>86</v>
      </c>
      <c r="F339" t="s">
        <v>102</v>
      </c>
      <c r="G339" t="s">
        <v>66</v>
      </c>
      <c r="H339" t="s">
        <v>88</v>
      </c>
      <c r="I339">
        <v>0</v>
      </c>
      <c r="Z339" t="str">
        <f>_xlfn.TEXTJOIN(",",TRUE,Table1[[#This Row],[Col5]],Table1[[#This Row],[Col4]],Table1[[#This Row],[Col3]],Table1[[#This Row],[Col2]],Table1[[#This Row],[Col1]])</f>
        <v/>
      </c>
      <c r="AW339" t="s">
        <v>152</v>
      </c>
      <c r="AY339" t="s">
        <v>125</v>
      </c>
      <c r="AZ339" t="s">
        <v>125</v>
      </c>
      <c r="BA339" t="s">
        <v>66</v>
      </c>
      <c r="BB339" t="s">
        <v>80</v>
      </c>
      <c r="BC339" t="s">
        <v>80</v>
      </c>
      <c r="BD339" t="s">
        <v>80</v>
      </c>
      <c r="BE339" t="s">
        <v>80</v>
      </c>
      <c r="BF339" t="s">
        <v>81</v>
      </c>
      <c r="BG339" t="s">
        <v>80</v>
      </c>
      <c r="BH339" t="s">
        <v>78</v>
      </c>
    </row>
    <row r="340" spans="1:60" x14ac:dyDescent="0.35">
      <c r="A340">
        <v>58</v>
      </c>
      <c r="B340" t="str" cm="1">
        <f t="array" ref="B340">_xlfn.IFS(A340&lt;=25,"18-25",A340&lt;=33,"26-33",A340&lt;=41,"34-41",A340&lt;=49,"42-49",A340&gt;49,"50 or above")</f>
        <v>50 or above</v>
      </c>
      <c r="C340" t="s">
        <v>89</v>
      </c>
      <c r="D340" t="s">
        <v>63</v>
      </c>
      <c r="E340" t="s">
        <v>121</v>
      </c>
      <c r="F340" t="s">
        <v>102</v>
      </c>
      <c r="G340" t="s">
        <v>88</v>
      </c>
      <c r="H340" t="s">
        <v>88</v>
      </c>
      <c r="I340">
        <v>0</v>
      </c>
      <c r="Z340" t="str">
        <f>_xlfn.TEXTJOIN(",",TRUE,Table1[[#This Row],[Col5]],Table1[[#This Row],[Col4]],Table1[[#This Row],[Col3]],Table1[[#This Row],[Col2]],Table1[[#This Row],[Col1]])</f>
        <v/>
      </c>
      <c r="AU340" t="s">
        <v>145</v>
      </c>
      <c r="AY340" t="s">
        <v>88</v>
      </c>
      <c r="AZ340" t="s">
        <v>88</v>
      </c>
      <c r="BA340" t="s">
        <v>66</v>
      </c>
      <c r="BB340" t="s">
        <v>81</v>
      </c>
      <c r="BC340" t="s">
        <v>81</v>
      </c>
      <c r="BD340" t="s">
        <v>81</v>
      </c>
      <c r="BE340" t="s">
        <v>81</v>
      </c>
      <c r="BF340" t="s">
        <v>81</v>
      </c>
      <c r="BG340" t="s">
        <v>81</v>
      </c>
      <c r="BH340" t="s">
        <v>81</v>
      </c>
    </row>
    <row r="341" spans="1:60" x14ac:dyDescent="0.35">
      <c r="A341">
        <v>37</v>
      </c>
      <c r="B341" t="str" cm="1">
        <f t="array" ref="B341">_xlfn.IFS(A341&lt;=25,"18-25",A341&lt;=33,"26-33",A341&lt;=41,"34-41",A341&lt;=49,"42-49",A341&gt;49,"50 or above")</f>
        <v>34-41</v>
      </c>
      <c r="C341" t="s">
        <v>89</v>
      </c>
      <c r="D341" t="s">
        <v>63</v>
      </c>
      <c r="E341" t="s">
        <v>86</v>
      </c>
      <c r="F341" t="s">
        <v>87</v>
      </c>
      <c r="G341" t="s">
        <v>66</v>
      </c>
      <c r="H341" t="s">
        <v>88</v>
      </c>
      <c r="I341">
        <v>0</v>
      </c>
      <c r="Z341" t="str">
        <f>_xlfn.TEXTJOIN(",",TRUE,Table1[[#This Row],[Col5]],Table1[[#This Row],[Col4]],Table1[[#This Row],[Col3]],Table1[[#This Row],[Col2]],Table1[[#This Row],[Col1]])</f>
        <v/>
      </c>
      <c r="AO341" t="s">
        <v>83</v>
      </c>
      <c r="AY341" t="s">
        <v>125</v>
      </c>
      <c r="AZ341" t="s">
        <v>125</v>
      </c>
      <c r="BA341" t="s">
        <v>88</v>
      </c>
      <c r="BB341" t="s">
        <v>80</v>
      </c>
      <c r="BC341" t="s">
        <v>80</v>
      </c>
      <c r="BD341" t="s">
        <v>80</v>
      </c>
      <c r="BE341" t="s">
        <v>78</v>
      </c>
      <c r="BF341" t="s">
        <v>81</v>
      </c>
      <c r="BG341" t="s">
        <v>78</v>
      </c>
      <c r="BH341" t="s">
        <v>78</v>
      </c>
    </row>
    <row r="342" spans="1:60" x14ac:dyDescent="0.35">
      <c r="A342">
        <v>52</v>
      </c>
      <c r="B342" t="str" cm="1">
        <f t="array" ref="B342">_xlfn.IFS(A342&lt;=25,"18-25",A342&lt;=33,"26-33",A342&lt;=41,"34-41",A342&lt;=49,"42-49",A342&gt;49,"50 or above")</f>
        <v>50 or above</v>
      </c>
      <c r="C342" t="s">
        <v>89</v>
      </c>
      <c r="D342" t="s">
        <v>119</v>
      </c>
      <c r="E342" t="s">
        <v>121</v>
      </c>
      <c r="F342" t="s">
        <v>87</v>
      </c>
      <c r="G342" t="s">
        <v>66</v>
      </c>
      <c r="H342" t="s">
        <v>88</v>
      </c>
      <c r="I342">
        <v>0</v>
      </c>
      <c r="Z342" t="str">
        <f>_xlfn.TEXTJOIN(",",TRUE,Table1[[#This Row],[Col5]],Table1[[#This Row],[Col4]],Table1[[#This Row],[Col3]],Table1[[#This Row],[Col2]],Table1[[#This Row],[Col1]])</f>
        <v/>
      </c>
      <c r="AR342" t="s">
        <v>118</v>
      </c>
      <c r="AY342" t="s">
        <v>125</v>
      </c>
      <c r="AZ342" t="s">
        <v>125</v>
      </c>
      <c r="BA342" t="s">
        <v>66</v>
      </c>
      <c r="BB342" t="s">
        <v>81</v>
      </c>
      <c r="BC342" t="s">
        <v>81</v>
      </c>
      <c r="BD342" t="s">
        <v>81</v>
      </c>
      <c r="BE342" t="s">
        <v>81</v>
      </c>
      <c r="BF342" t="s">
        <v>81</v>
      </c>
      <c r="BG342" t="s">
        <v>81</v>
      </c>
      <c r="BH342" t="s">
        <v>81</v>
      </c>
    </row>
    <row r="343" spans="1:60" x14ac:dyDescent="0.35">
      <c r="A343">
        <v>31</v>
      </c>
      <c r="B343" t="str" cm="1">
        <f t="array" ref="B343">_xlfn.IFS(A343&lt;=25,"18-25",A343&lt;=33,"26-33",A343&lt;=41,"34-41",A343&lt;=49,"42-49",A343&gt;49,"50 or above")</f>
        <v>26-33</v>
      </c>
      <c r="C343" t="s">
        <v>62</v>
      </c>
      <c r="D343" t="s">
        <v>116</v>
      </c>
      <c r="E343" t="s">
        <v>86</v>
      </c>
      <c r="F343" t="s">
        <v>102</v>
      </c>
      <c r="G343" t="s">
        <v>66</v>
      </c>
      <c r="H343" t="s">
        <v>66</v>
      </c>
      <c r="I343">
        <v>1</v>
      </c>
      <c r="L343" t="s">
        <v>91</v>
      </c>
      <c r="P343" t="s">
        <v>91</v>
      </c>
      <c r="Q343" t="s">
        <v>98</v>
      </c>
      <c r="R343" t="s">
        <v>92</v>
      </c>
      <c r="S343" t="s">
        <v>72</v>
      </c>
      <c r="T343" t="s">
        <v>73</v>
      </c>
      <c r="W343" t="s">
        <v>134</v>
      </c>
      <c r="Z343" t="str">
        <f>_xlfn.TEXTJOIN(",",TRUE,Table1[[#This Row],[Col5]],Table1[[#This Row],[Col4]],Table1[[#This Row],[Col3]],Table1[[#This Row],[Col2]],Table1[[#This Row],[Col1]])</f>
        <v>Daily Essentials</v>
      </c>
      <c r="AA343" t="s">
        <v>81</v>
      </c>
      <c r="AB343" t="s">
        <v>80</v>
      </c>
      <c r="AC343" t="s">
        <v>80</v>
      </c>
      <c r="AD343" t="s">
        <v>81</v>
      </c>
      <c r="AE343" t="s">
        <v>79</v>
      </c>
      <c r="AF343" t="s">
        <v>80</v>
      </c>
      <c r="AG343" t="s">
        <v>80</v>
      </c>
      <c r="AH343" t="s">
        <v>80</v>
      </c>
      <c r="AI343" t="s">
        <v>78</v>
      </c>
      <c r="AJ343" t="s">
        <v>80</v>
      </c>
      <c r="AK343">
        <v>4</v>
      </c>
      <c r="AL343">
        <v>4</v>
      </c>
      <c r="AM343">
        <v>3</v>
      </c>
      <c r="AU343" t="s">
        <v>145</v>
      </c>
    </row>
  </sheetData>
  <mergeCells count="3">
    <mergeCell ref="J1:O1"/>
    <mergeCell ref="U1:Y1"/>
    <mergeCell ref="AO1:AX1"/>
  </mergeCells>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14826-24E0-4BA4-B8D3-D71845DFBC3C}">
  <dimension ref="A1:B8"/>
  <sheetViews>
    <sheetView workbookViewId="0">
      <selection activeCell="A14" sqref="A14"/>
    </sheetView>
  </sheetViews>
  <sheetFormatPr defaultRowHeight="14.5" x14ac:dyDescent="0.35"/>
  <cols>
    <col min="1" max="1" width="14.453125" bestFit="1" customWidth="1"/>
    <col min="2" max="2" width="16.7265625" bestFit="1" customWidth="1"/>
  </cols>
  <sheetData>
    <row r="1" spans="1:2" x14ac:dyDescent="0.35">
      <c r="A1" s="2" t="s">
        <v>10</v>
      </c>
      <c r="B1" t="s">
        <v>66</v>
      </c>
    </row>
    <row r="3" spans="1:2" x14ac:dyDescent="0.35">
      <c r="A3" s="2" t="s">
        <v>154</v>
      </c>
      <c r="B3" t="s">
        <v>161</v>
      </c>
    </row>
    <row r="4" spans="1:2" x14ac:dyDescent="0.35">
      <c r="A4" s="3" t="s">
        <v>67</v>
      </c>
      <c r="B4">
        <v>142</v>
      </c>
    </row>
    <row r="5" spans="1:2" x14ac:dyDescent="0.35">
      <c r="A5" s="3" t="s">
        <v>111</v>
      </c>
      <c r="B5">
        <v>6</v>
      </c>
    </row>
    <row r="6" spans="1:2" x14ac:dyDescent="0.35">
      <c r="A6" s="3" t="s">
        <v>91</v>
      </c>
      <c r="B6">
        <v>43</v>
      </c>
    </row>
    <row r="7" spans="1:2" x14ac:dyDescent="0.35">
      <c r="A7" s="3" t="s">
        <v>93</v>
      </c>
      <c r="B7">
        <v>37</v>
      </c>
    </row>
    <row r="8" spans="1:2" x14ac:dyDescent="0.35">
      <c r="A8" s="3" t="s">
        <v>155</v>
      </c>
      <c r="B8">
        <v>228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5240-4AF5-4AFC-A021-7141DF2E0DC7}">
  <dimension ref="A1:F10"/>
  <sheetViews>
    <sheetView topLeftCell="A5" workbookViewId="0">
      <selection activeCell="B10" sqref="B10"/>
    </sheetView>
  </sheetViews>
  <sheetFormatPr defaultRowHeight="14.5" x14ac:dyDescent="0.35"/>
  <cols>
    <col min="1" max="1" width="17.7265625"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s>
  <sheetData>
    <row r="1" spans="1:6" x14ac:dyDescent="0.35">
      <c r="A1" s="2" t="s">
        <v>10</v>
      </c>
      <c r="B1" t="s">
        <v>66</v>
      </c>
    </row>
    <row r="3" spans="1:6" x14ac:dyDescent="0.35">
      <c r="A3" s="2" t="s">
        <v>161</v>
      </c>
      <c r="B3" s="2" t="s">
        <v>162</v>
      </c>
    </row>
    <row r="4" spans="1:6" x14ac:dyDescent="0.35">
      <c r="A4" s="2" t="s">
        <v>154</v>
      </c>
      <c r="B4" t="s">
        <v>67</v>
      </c>
      <c r="C4" t="s">
        <v>91</v>
      </c>
      <c r="D4" t="s">
        <v>93</v>
      </c>
      <c r="E4" t="s">
        <v>111</v>
      </c>
      <c r="F4" t="s">
        <v>155</v>
      </c>
    </row>
    <row r="5" spans="1:6" x14ac:dyDescent="0.35">
      <c r="A5" s="3" t="s">
        <v>119</v>
      </c>
      <c r="B5">
        <v>7</v>
      </c>
      <c r="C5">
        <v>2</v>
      </c>
      <c r="D5">
        <v>1</v>
      </c>
      <c r="E5">
        <v>1</v>
      </c>
      <c r="F5">
        <v>11</v>
      </c>
    </row>
    <row r="6" spans="1:6" x14ac:dyDescent="0.35">
      <c r="A6" s="3" t="s">
        <v>63</v>
      </c>
      <c r="B6">
        <v>49</v>
      </c>
      <c r="C6">
        <v>10</v>
      </c>
      <c r="D6">
        <v>13</v>
      </c>
      <c r="E6">
        <v>2</v>
      </c>
      <c r="F6">
        <v>74</v>
      </c>
    </row>
    <row r="7" spans="1:6" x14ac:dyDescent="0.35">
      <c r="A7" s="3" t="s">
        <v>105</v>
      </c>
      <c r="B7">
        <v>55</v>
      </c>
      <c r="C7">
        <v>19</v>
      </c>
      <c r="D7">
        <v>15</v>
      </c>
      <c r="E7">
        <v>2</v>
      </c>
      <c r="F7">
        <v>91</v>
      </c>
    </row>
    <row r="8" spans="1:6" x14ac:dyDescent="0.35">
      <c r="A8" s="3" t="s">
        <v>116</v>
      </c>
      <c r="B8">
        <v>27</v>
      </c>
      <c r="C8">
        <v>11</v>
      </c>
      <c r="D8">
        <v>8</v>
      </c>
      <c r="E8">
        <v>1</v>
      </c>
      <c r="F8">
        <v>47</v>
      </c>
    </row>
    <row r="9" spans="1:6" x14ac:dyDescent="0.35">
      <c r="A9" s="3" t="s">
        <v>120</v>
      </c>
      <c r="B9">
        <v>4</v>
      </c>
      <c r="C9">
        <v>1</v>
      </c>
      <c r="F9">
        <v>5</v>
      </c>
    </row>
    <row r="10" spans="1:6" x14ac:dyDescent="0.35">
      <c r="A10" s="3" t="s">
        <v>155</v>
      </c>
      <c r="B10">
        <v>142</v>
      </c>
      <c r="C10">
        <v>43</v>
      </c>
      <c r="D10">
        <v>37</v>
      </c>
      <c r="E10">
        <v>6</v>
      </c>
      <c r="F10">
        <v>228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65CB-111A-43E2-B98B-A61CB541F2A9}">
  <dimension ref="A2:F11"/>
  <sheetViews>
    <sheetView workbookViewId="0">
      <selection activeCell="D3" sqref="D3"/>
    </sheetView>
  </sheetViews>
  <sheetFormatPr defaultRowHeight="14.5" x14ac:dyDescent="0.35"/>
  <cols>
    <col min="1" max="1" width="17.81640625"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s>
  <sheetData>
    <row r="2" spans="1:6" x14ac:dyDescent="0.35">
      <c r="A2" s="2" t="s">
        <v>10</v>
      </c>
      <c r="B2" t="s">
        <v>66</v>
      </c>
    </row>
    <row r="4" spans="1:6" x14ac:dyDescent="0.35">
      <c r="A4" s="2" t="s">
        <v>171</v>
      </c>
      <c r="B4" s="2" t="s">
        <v>162</v>
      </c>
    </row>
    <row r="5" spans="1:6" x14ac:dyDescent="0.35">
      <c r="A5" s="2" t="s">
        <v>154</v>
      </c>
      <c r="B5" t="s">
        <v>67</v>
      </c>
      <c r="C5" t="s">
        <v>91</v>
      </c>
      <c r="D5" t="s">
        <v>93</v>
      </c>
      <c r="E5" t="s">
        <v>111</v>
      </c>
      <c r="F5" t="s">
        <v>155</v>
      </c>
    </row>
    <row r="6" spans="1:6" x14ac:dyDescent="0.35">
      <c r="A6" s="3" t="s">
        <v>121</v>
      </c>
      <c r="B6">
        <v>19</v>
      </c>
      <c r="C6">
        <v>4</v>
      </c>
      <c r="D6">
        <v>2</v>
      </c>
      <c r="E6">
        <v>1</v>
      </c>
      <c r="F6">
        <v>26</v>
      </c>
    </row>
    <row r="7" spans="1:6" x14ac:dyDescent="0.35">
      <c r="A7" s="3" t="s">
        <v>109</v>
      </c>
      <c r="B7">
        <v>29</v>
      </c>
      <c r="C7">
        <v>11</v>
      </c>
      <c r="D7">
        <v>14</v>
      </c>
      <c r="F7">
        <v>54</v>
      </c>
    </row>
    <row r="8" spans="1:6" x14ac:dyDescent="0.35">
      <c r="A8" s="3" t="s">
        <v>64</v>
      </c>
      <c r="B8">
        <v>34</v>
      </c>
      <c r="C8">
        <v>7</v>
      </c>
      <c r="D8">
        <v>7</v>
      </c>
      <c r="E8">
        <v>2</v>
      </c>
      <c r="F8">
        <v>50</v>
      </c>
    </row>
    <row r="9" spans="1:6" x14ac:dyDescent="0.35">
      <c r="A9" s="3" t="s">
        <v>86</v>
      </c>
      <c r="B9">
        <v>54</v>
      </c>
      <c r="C9">
        <v>20</v>
      </c>
      <c r="D9">
        <v>14</v>
      </c>
      <c r="E9">
        <v>3</v>
      </c>
      <c r="F9">
        <v>91</v>
      </c>
    </row>
    <row r="10" spans="1:6" x14ac:dyDescent="0.35">
      <c r="A10" s="3" t="s">
        <v>136</v>
      </c>
      <c r="B10">
        <v>6</v>
      </c>
      <c r="C10">
        <v>1</v>
      </c>
      <c r="F10">
        <v>7</v>
      </c>
    </row>
    <row r="11" spans="1:6" x14ac:dyDescent="0.35">
      <c r="A11" s="3" t="s">
        <v>155</v>
      </c>
      <c r="B11">
        <v>142</v>
      </c>
      <c r="C11">
        <v>43</v>
      </c>
      <c r="D11">
        <v>37</v>
      </c>
      <c r="E11">
        <v>6</v>
      </c>
      <c r="F11">
        <v>228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4882-D234-41C7-AA44-34D4DABB5D1D}">
  <dimension ref="A1:B7"/>
  <sheetViews>
    <sheetView workbookViewId="0">
      <selection activeCell="B14" sqref="B14"/>
    </sheetView>
  </sheetViews>
  <sheetFormatPr defaultRowHeight="14.5" x14ac:dyDescent="0.35"/>
  <cols>
    <col min="1" max="1" width="13.90625" bestFit="1" customWidth="1"/>
    <col min="2" max="2" width="16" bestFit="1" customWidth="1"/>
    <col min="3" max="3" width="3.81640625" bestFit="1" customWidth="1"/>
    <col min="4" max="4" width="10.36328125" bestFit="1" customWidth="1"/>
    <col min="5" max="5" width="20.54296875" bestFit="1" customWidth="1"/>
    <col min="6" max="7" width="10.36328125" bestFit="1" customWidth="1"/>
  </cols>
  <sheetData>
    <row r="1" spans="1:2" x14ac:dyDescent="0.35">
      <c r="A1" s="2" t="s">
        <v>10</v>
      </c>
      <c r="B1" t="s">
        <v>66</v>
      </c>
    </row>
    <row r="3" spans="1:2" x14ac:dyDescent="0.35">
      <c r="A3" s="2" t="s">
        <v>154</v>
      </c>
      <c r="B3" t="s">
        <v>171</v>
      </c>
    </row>
    <row r="4" spans="1:2" x14ac:dyDescent="0.35">
      <c r="A4" s="3" t="s">
        <v>89</v>
      </c>
      <c r="B4">
        <v>112</v>
      </c>
    </row>
    <row r="5" spans="1:2" x14ac:dyDescent="0.35">
      <c r="A5" s="3" t="s">
        <v>62</v>
      </c>
      <c r="B5">
        <v>113</v>
      </c>
    </row>
    <row r="6" spans="1:2" x14ac:dyDescent="0.35">
      <c r="A6" s="3" t="s">
        <v>129</v>
      </c>
      <c r="B6">
        <v>3</v>
      </c>
    </row>
    <row r="7" spans="1:2" x14ac:dyDescent="0.35">
      <c r="A7" s="3" t="s">
        <v>155</v>
      </c>
      <c r="B7">
        <v>228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2C5B-9DB8-4DCA-9DBE-DC2810767A90}">
  <dimension ref="A2:F11"/>
  <sheetViews>
    <sheetView workbookViewId="0">
      <selection activeCell="A4" sqref="A4"/>
    </sheetView>
  </sheetViews>
  <sheetFormatPr defaultRowHeight="14.5" x14ac:dyDescent="0.35"/>
  <cols>
    <col min="1" max="1" width="17"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 min="8" max="8" width="16" bestFit="1" customWidth="1"/>
    <col min="9" max="9" width="14.6328125" bestFit="1" customWidth="1"/>
    <col min="10" max="10" width="16" bestFit="1" customWidth="1"/>
    <col min="11" max="11" width="14.6328125" bestFit="1" customWidth="1"/>
    <col min="12" max="12" width="20.54296875" bestFit="1" customWidth="1"/>
    <col min="13" max="13" width="19.1796875" bestFit="1" customWidth="1"/>
  </cols>
  <sheetData>
    <row r="2" spans="1:6" x14ac:dyDescent="0.35">
      <c r="A2" s="2" t="s">
        <v>10</v>
      </c>
      <c r="B2" t="s">
        <v>66</v>
      </c>
    </row>
    <row r="4" spans="1:6" x14ac:dyDescent="0.35">
      <c r="A4" s="2" t="s">
        <v>167</v>
      </c>
      <c r="B4" s="2" t="s">
        <v>162</v>
      </c>
    </row>
    <row r="5" spans="1:6" x14ac:dyDescent="0.35">
      <c r="A5" s="2" t="s">
        <v>154</v>
      </c>
      <c r="B5" t="s">
        <v>67</v>
      </c>
      <c r="C5" t="s">
        <v>91</v>
      </c>
      <c r="D5" t="s">
        <v>93</v>
      </c>
      <c r="E5" t="s">
        <v>111</v>
      </c>
      <c r="F5" t="s">
        <v>155</v>
      </c>
    </row>
    <row r="6" spans="1:6" x14ac:dyDescent="0.35">
      <c r="A6" s="3" t="s">
        <v>127</v>
      </c>
      <c r="B6">
        <v>7</v>
      </c>
      <c r="C6">
        <v>2</v>
      </c>
      <c r="D6">
        <v>1</v>
      </c>
      <c r="F6">
        <v>10</v>
      </c>
    </row>
    <row r="7" spans="1:6" x14ac:dyDescent="0.35">
      <c r="A7" s="3" t="s">
        <v>90</v>
      </c>
      <c r="B7">
        <v>24</v>
      </c>
      <c r="C7">
        <v>15</v>
      </c>
      <c r="D7">
        <v>5</v>
      </c>
      <c r="E7">
        <v>2</v>
      </c>
      <c r="F7">
        <v>46</v>
      </c>
    </row>
    <row r="8" spans="1:6" x14ac:dyDescent="0.35">
      <c r="A8" s="3" t="s">
        <v>87</v>
      </c>
      <c r="B8">
        <v>40</v>
      </c>
      <c r="C8">
        <v>10</v>
      </c>
      <c r="D8">
        <v>10</v>
      </c>
      <c r="F8">
        <v>60</v>
      </c>
    </row>
    <row r="9" spans="1:6" x14ac:dyDescent="0.35">
      <c r="A9" s="3" t="s">
        <v>102</v>
      </c>
      <c r="B9">
        <v>26</v>
      </c>
      <c r="C9">
        <v>9</v>
      </c>
      <c r="D9">
        <v>8</v>
      </c>
      <c r="E9">
        <v>1</v>
      </c>
      <c r="F9">
        <v>44</v>
      </c>
    </row>
    <row r="10" spans="1:6" x14ac:dyDescent="0.35">
      <c r="A10" s="3" t="s">
        <v>65</v>
      </c>
      <c r="B10">
        <v>45</v>
      </c>
      <c r="C10">
        <v>7</v>
      </c>
      <c r="D10">
        <v>13</v>
      </c>
      <c r="E10">
        <v>3</v>
      </c>
      <c r="F10">
        <v>68</v>
      </c>
    </row>
    <row r="11" spans="1:6" x14ac:dyDescent="0.35">
      <c r="A11" s="3" t="s">
        <v>155</v>
      </c>
      <c r="B11">
        <v>142</v>
      </c>
      <c r="C11">
        <v>43</v>
      </c>
      <c r="D11">
        <v>37</v>
      </c>
      <c r="E11">
        <v>6</v>
      </c>
      <c r="F11">
        <v>228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A396-78CE-4AD3-95BD-29F3A903694E}">
  <dimension ref="A1:M10"/>
  <sheetViews>
    <sheetView workbookViewId="0">
      <selection activeCell="L16" sqref="L16"/>
    </sheetView>
  </sheetViews>
  <sheetFormatPr defaultRowHeight="14.5" x14ac:dyDescent="0.35"/>
  <cols>
    <col min="1" max="1" width="16.7265625" bestFit="1" customWidth="1"/>
    <col min="2" max="2" width="15.6328125" bestFit="1" customWidth="1"/>
    <col min="3" max="3" width="15.08984375" bestFit="1" customWidth="1"/>
    <col min="4" max="4" width="5.54296875" bestFit="1" customWidth="1"/>
    <col min="5" max="5" width="5.453125" bestFit="1" customWidth="1"/>
    <col min="6" max="7" width="10.36328125" bestFit="1" customWidth="1"/>
    <col min="13" max="14" width="16.7265625" bestFit="1" customWidth="1"/>
  </cols>
  <sheetData>
    <row r="1" spans="1:13" x14ac:dyDescent="0.35">
      <c r="A1" s="2" t="s">
        <v>10</v>
      </c>
      <c r="B1" t="s">
        <v>66</v>
      </c>
    </row>
    <row r="3" spans="1:13" x14ac:dyDescent="0.35">
      <c r="A3" s="2" t="s">
        <v>161</v>
      </c>
      <c r="B3" s="2" t="s">
        <v>162</v>
      </c>
    </row>
    <row r="4" spans="1:13" x14ac:dyDescent="0.35">
      <c r="A4" s="2" t="s">
        <v>154</v>
      </c>
      <c r="B4" t="s">
        <v>67</v>
      </c>
      <c r="C4" t="s">
        <v>91</v>
      </c>
      <c r="D4" t="s">
        <v>93</v>
      </c>
      <c r="E4" t="s">
        <v>111</v>
      </c>
      <c r="F4" t="s">
        <v>155</v>
      </c>
      <c r="M4" t="s">
        <v>171</v>
      </c>
    </row>
    <row r="5" spans="1:13" x14ac:dyDescent="0.35">
      <c r="A5" s="3" t="s">
        <v>156</v>
      </c>
      <c r="B5">
        <v>38</v>
      </c>
      <c r="C5">
        <v>6</v>
      </c>
      <c r="D5">
        <v>4</v>
      </c>
      <c r="E5">
        <v>2</v>
      </c>
      <c r="F5">
        <v>50</v>
      </c>
      <c r="M5">
        <v>341</v>
      </c>
    </row>
    <row r="6" spans="1:13" x14ac:dyDescent="0.35">
      <c r="A6" s="3" t="s">
        <v>157</v>
      </c>
      <c r="B6">
        <v>35</v>
      </c>
      <c r="C6">
        <v>19</v>
      </c>
      <c r="D6">
        <v>20</v>
      </c>
      <c r="E6">
        <v>1</v>
      </c>
      <c r="F6">
        <v>75</v>
      </c>
    </row>
    <row r="7" spans="1:13" x14ac:dyDescent="0.35">
      <c r="A7" s="3" t="s">
        <v>158</v>
      </c>
      <c r="B7">
        <v>35</v>
      </c>
      <c r="C7">
        <v>10</v>
      </c>
      <c r="D7">
        <v>7</v>
      </c>
      <c r="E7">
        <v>1</v>
      </c>
      <c r="F7">
        <v>53</v>
      </c>
    </row>
    <row r="8" spans="1:13" x14ac:dyDescent="0.35">
      <c r="A8" s="3" t="s">
        <v>159</v>
      </c>
      <c r="B8">
        <v>16</v>
      </c>
      <c r="C8">
        <v>3</v>
      </c>
      <c r="D8">
        <v>2</v>
      </c>
      <c r="E8">
        <v>2</v>
      </c>
      <c r="F8">
        <v>23</v>
      </c>
    </row>
    <row r="9" spans="1:13" x14ac:dyDescent="0.35">
      <c r="A9" s="3" t="s">
        <v>160</v>
      </c>
      <c r="B9">
        <v>18</v>
      </c>
      <c r="C9">
        <v>5</v>
      </c>
      <c r="D9">
        <v>4</v>
      </c>
      <c r="F9">
        <v>27</v>
      </c>
      <c r="M9" t="s">
        <v>161</v>
      </c>
    </row>
    <row r="10" spans="1:13" x14ac:dyDescent="0.35">
      <c r="A10" s="3" t="s">
        <v>155</v>
      </c>
      <c r="B10">
        <v>142</v>
      </c>
      <c r="C10">
        <v>43</v>
      </c>
      <c r="D10">
        <v>37</v>
      </c>
      <c r="E10">
        <v>6</v>
      </c>
      <c r="F10">
        <v>228</v>
      </c>
      <c r="M10">
        <v>228</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F7CA-8603-4A14-8D10-059043163177}">
  <dimension ref="B10:R15"/>
  <sheetViews>
    <sheetView showGridLines="0" workbookViewId="0">
      <selection activeCell="B34" sqref="B34"/>
    </sheetView>
  </sheetViews>
  <sheetFormatPr defaultRowHeight="14.5" x14ac:dyDescent="0.35"/>
  <cols>
    <col min="1" max="1" width="10.1796875" customWidth="1"/>
  </cols>
  <sheetData>
    <row r="10" spans="2:18" ht="15" thickBot="1" x14ac:dyDescent="0.4">
      <c r="B10" s="14">
        <f>GETPIVOTDATA("App_Used",'age+app'!$M$9)</f>
        <v>228</v>
      </c>
      <c r="C10" s="14"/>
    </row>
    <row r="11" spans="2:18" x14ac:dyDescent="0.35">
      <c r="B11" s="14"/>
      <c r="C11" s="14"/>
      <c r="Q11" s="10" t="s">
        <v>168</v>
      </c>
      <c r="R11" s="11"/>
    </row>
    <row r="12" spans="2:18" ht="15" thickBot="1" x14ac:dyDescent="0.4">
      <c r="B12" s="14"/>
      <c r="C12" s="14"/>
      <c r="Q12" s="12"/>
      <c r="R12" s="13"/>
    </row>
    <row r="14" spans="2:18" x14ac:dyDescent="0.35">
      <c r="Q14" s="5" t="s">
        <v>169</v>
      </c>
      <c r="R14" s="5">
        <f>COUNTIF(raw!I:I,1)</f>
        <v>228</v>
      </c>
    </row>
    <row r="15" spans="2:18" x14ac:dyDescent="0.35">
      <c r="Q15" s="5" t="s">
        <v>170</v>
      </c>
      <c r="R15" s="5">
        <f>341-R14</f>
        <v>113</v>
      </c>
    </row>
  </sheetData>
  <mergeCells count="2">
    <mergeCell ref="Q11:R12"/>
    <mergeCell ref="B10:C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6A0B-8CCF-4FE6-9977-1A25B972864E}">
  <dimension ref="A1:F8"/>
  <sheetViews>
    <sheetView workbookViewId="0">
      <selection activeCell="J7" sqref="J7"/>
    </sheetView>
  </sheetViews>
  <sheetFormatPr defaultRowHeight="14.5" x14ac:dyDescent="0.35"/>
  <cols>
    <col min="1" max="1" width="14.453125" bestFit="1" customWidth="1"/>
    <col min="2" max="2" width="15.6328125" bestFit="1" customWidth="1"/>
    <col min="3" max="3" width="5.453125" bestFit="1" customWidth="1"/>
    <col min="4" max="4" width="15.08984375" bestFit="1" customWidth="1"/>
    <col min="5" max="5" width="5.54296875" bestFit="1" customWidth="1"/>
    <col min="6" max="7" width="10.36328125" bestFit="1" customWidth="1"/>
  </cols>
  <sheetData>
    <row r="1" spans="1:6" x14ac:dyDescent="0.35">
      <c r="A1" s="2" t="s">
        <v>10</v>
      </c>
      <c r="B1" t="s">
        <v>66</v>
      </c>
    </row>
    <row r="3" spans="1:6" x14ac:dyDescent="0.35">
      <c r="A3" s="2" t="s">
        <v>163</v>
      </c>
      <c r="B3" s="2" t="s">
        <v>162</v>
      </c>
    </row>
    <row r="4" spans="1:6" x14ac:dyDescent="0.35">
      <c r="A4" s="2" t="s">
        <v>154</v>
      </c>
      <c r="B4" t="s">
        <v>67</v>
      </c>
      <c r="C4" t="s">
        <v>111</v>
      </c>
      <c r="D4" t="s">
        <v>91</v>
      </c>
      <c r="E4" t="s">
        <v>93</v>
      </c>
      <c r="F4" t="s">
        <v>155</v>
      </c>
    </row>
    <row r="5" spans="1:6" x14ac:dyDescent="0.35">
      <c r="A5" s="3" t="s">
        <v>89</v>
      </c>
      <c r="B5">
        <v>67</v>
      </c>
      <c r="C5">
        <v>5</v>
      </c>
      <c r="D5">
        <v>23</v>
      </c>
      <c r="E5">
        <v>17</v>
      </c>
      <c r="F5">
        <v>112</v>
      </c>
    </row>
    <row r="6" spans="1:6" x14ac:dyDescent="0.35">
      <c r="A6" s="3" t="s">
        <v>62</v>
      </c>
      <c r="B6">
        <v>73</v>
      </c>
      <c r="C6">
        <v>1</v>
      </c>
      <c r="D6">
        <v>20</v>
      </c>
      <c r="E6">
        <v>19</v>
      </c>
      <c r="F6">
        <v>113</v>
      </c>
    </row>
    <row r="7" spans="1:6" x14ac:dyDescent="0.35">
      <c r="A7" s="3" t="s">
        <v>129</v>
      </c>
      <c r="B7">
        <v>2</v>
      </c>
      <c r="E7">
        <v>1</v>
      </c>
      <c r="F7">
        <v>3</v>
      </c>
    </row>
    <row r="8" spans="1:6" x14ac:dyDescent="0.35">
      <c r="A8" s="3" t="s">
        <v>155</v>
      </c>
      <c r="B8">
        <v>142</v>
      </c>
      <c r="C8">
        <v>6</v>
      </c>
      <c r="D8">
        <v>43</v>
      </c>
      <c r="E8">
        <v>37</v>
      </c>
      <c r="F8">
        <v>228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A77C-7DF4-49DE-8DF8-8BB3750756D9}">
  <dimension ref="A1:B9"/>
  <sheetViews>
    <sheetView workbookViewId="0">
      <selection activeCell="A9" sqref="A9"/>
    </sheetView>
  </sheetViews>
  <sheetFormatPr defaultRowHeight="14.5" x14ac:dyDescent="0.35"/>
  <cols>
    <col min="1" max="1" width="12.453125" bestFit="1" customWidth="1"/>
    <col min="2" max="2" width="17.36328125" bestFit="1" customWidth="1"/>
  </cols>
  <sheetData>
    <row r="1" spans="1:2" x14ac:dyDescent="0.35">
      <c r="A1" s="2" t="s">
        <v>10</v>
      </c>
      <c r="B1" t="s">
        <v>88</v>
      </c>
    </row>
    <row r="3" spans="1:2" x14ac:dyDescent="0.35">
      <c r="A3" s="2" t="s">
        <v>154</v>
      </c>
      <c r="B3" t="s">
        <v>164</v>
      </c>
    </row>
    <row r="4" spans="1:2" x14ac:dyDescent="0.35">
      <c r="A4" s="3" t="s">
        <v>156</v>
      </c>
      <c r="B4" s="4">
        <v>4.4247787610619468E-2</v>
      </c>
    </row>
    <row r="5" spans="1:2" x14ac:dyDescent="0.35">
      <c r="A5" s="3" t="s">
        <v>157</v>
      </c>
      <c r="B5" s="4">
        <v>0.15044247787610621</v>
      </c>
    </row>
    <row r="6" spans="1:2" x14ac:dyDescent="0.35">
      <c r="A6" s="3" t="s">
        <v>158</v>
      </c>
      <c r="B6" s="4">
        <v>0.17699115044247787</v>
      </c>
    </row>
    <row r="7" spans="1:2" x14ac:dyDescent="0.35">
      <c r="A7" s="3" t="s">
        <v>159</v>
      </c>
      <c r="B7" s="4">
        <v>0.18584070796460178</v>
      </c>
    </row>
    <row r="8" spans="1:2" x14ac:dyDescent="0.35">
      <c r="A8" s="3" t="s">
        <v>160</v>
      </c>
      <c r="B8" s="4">
        <v>0.44247787610619471</v>
      </c>
    </row>
    <row r="9" spans="1:2" x14ac:dyDescent="0.35">
      <c r="A9" s="3" t="s">
        <v>155</v>
      </c>
      <c r="B9" s="4">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061A-EBDA-4359-90DB-1133837988CA}">
  <dimension ref="A1:B9"/>
  <sheetViews>
    <sheetView workbookViewId="0">
      <selection activeCell="B18" sqref="B18"/>
    </sheetView>
  </sheetViews>
  <sheetFormatPr defaultRowHeight="14.5" x14ac:dyDescent="0.35"/>
  <cols>
    <col min="1" max="1" width="17.7265625" bestFit="1" customWidth="1"/>
    <col min="2" max="2" width="16.81640625" bestFit="1" customWidth="1"/>
  </cols>
  <sheetData>
    <row r="1" spans="1:2" x14ac:dyDescent="0.35">
      <c r="A1" s="2" t="s">
        <v>10</v>
      </c>
      <c r="B1" t="s">
        <v>66</v>
      </c>
    </row>
    <row r="3" spans="1:2" x14ac:dyDescent="0.35">
      <c r="A3" s="2" t="s">
        <v>154</v>
      </c>
      <c r="B3" t="s">
        <v>165</v>
      </c>
    </row>
    <row r="4" spans="1:2" x14ac:dyDescent="0.35">
      <c r="A4" s="3" t="s">
        <v>119</v>
      </c>
      <c r="B4" s="4">
        <v>4.8245614035087717E-2</v>
      </c>
    </row>
    <row r="5" spans="1:2" x14ac:dyDescent="0.35">
      <c r="A5" s="3" t="s">
        <v>63</v>
      </c>
      <c r="B5" s="4">
        <v>0.32456140350877194</v>
      </c>
    </row>
    <row r="6" spans="1:2" x14ac:dyDescent="0.35">
      <c r="A6" s="3" t="s">
        <v>105</v>
      </c>
      <c r="B6" s="4">
        <v>0.39912280701754388</v>
      </c>
    </row>
    <row r="7" spans="1:2" x14ac:dyDescent="0.35">
      <c r="A7" s="3" t="s">
        <v>116</v>
      </c>
      <c r="B7" s="4">
        <v>0.20614035087719298</v>
      </c>
    </row>
    <row r="8" spans="1:2" x14ac:dyDescent="0.35">
      <c r="A8" s="3" t="s">
        <v>120</v>
      </c>
      <c r="B8" s="4">
        <v>2.1929824561403508E-2</v>
      </c>
    </row>
    <row r="9" spans="1:2" x14ac:dyDescent="0.35">
      <c r="A9" s="3" t="s">
        <v>155</v>
      </c>
      <c r="B9" s="4">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70BF7-D12C-4FBC-9FD6-B694C298C569}">
  <dimension ref="A1:B9"/>
  <sheetViews>
    <sheetView workbookViewId="0">
      <selection activeCell="A5" sqref="A5"/>
    </sheetView>
  </sheetViews>
  <sheetFormatPr defaultRowHeight="14.5" x14ac:dyDescent="0.35"/>
  <cols>
    <col min="1" max="1" width="17.81640625" bestFit="1" customWidth="1"/>
    <col min="2" max="2" width="18.1796875" bestFit="1" customWidth="1"/>
    <col min="3" max="3" width="15.36328125" bestFit="1" customWidth="1"/>
    <col min="4" max="4" width="17" bestFit="1" customWidth="1"/>
    <col min="5" max="5" width="14.453125" bestFit="1" customWidth="1"/>
    <col min="6" max="6" width="12.7265625" bestFit="1" customWidth="1"/>
    <col min="7" max="7" width="10.36328125" bestFit="1" customWidth="1"/>
  </cols>
  <sheetData>
    <row r="1" spans="1:2" x14ac:dyDescent="0.35">
      <c r="A1" s="2" t="s">
        <v>10</v>
      </c>
      <c r="B1" t="s">
        <v>66</v>
      </c>
    </row>
    <row r="3" spans="1:2" x14ac:dyDescent="0.35">
      <c r="A3" s="2" t="s">
        <v>154</v>
      </c>
      <c r="B3" t="s">
        <v>166</v>
      </c>
    </row>
    <row r="4" spans="1:2" x14ac:dyDescent="0.35">
      <c r="A4" s="3" t="s">
        <v>64</v>
      </c>
      <c r="B4" s="4">
        <v>0.21929824561403508</v>
      </c>
    </row>
    <row r="5" spans="1:2" x14ac:dyDescent="0.35">
      <c r="A5" s="3" t="s">
        <v>109</v>
      </c>
      <c r="B5" s="4">
        <v>0.23684210526315788</v>
      </c>
    </row>
    <row r="6" spans="1:2" x14ac:dyDescent="0.35">
      <c r="A6" s="3" t="s">
        <v>86</v>
      </c>
      <c r="B6" s="4">
        <v>0.39912280701754388</v>
      </c>
    </row>
    <row r="7" spans="1:2" x14ac:dyDescent="0.35">
      <c r="A7" s="3" t="s">
        <v>121</v>
      </c>
      <c r="B7" s="4">
        <v>0.11403508771929824</v>
      </c>
    </row>
    <row r="8" spans="1:2" x14ac:dyDescent="0.35">
      <c r="A8" s="3" t="s">
        <v>136</v>
      </c>
      <c r="B8" s="4">
        <v>3.0701754385964911E-2</v>
      </c>
    </row>
    <row r="9" spans="1:2" x14ac:dyDescent="0.35">
      <c r="A9" s="3" t="s">
        <v>155</v>
      </c>
      <c r="B9"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ECDF-4918-47C8-9948-F45F50E30840}">
  <dimension ref="A1:B9"/>
  <sheetViews>
    <sheetView workbookViewId="0">
      <selection activeCell="B15" sqref="B15"/>
    </sheetView>
  </sheetViews>
  <sheetFormatPr defaultRowHeight="14.5" x14ac:dyDescent="0.35"/>
  <cols>
    <col min="1" max="1" width="17" bestFit="1" customWidth="1"/>
    <col min="2" max="2" width="14.6328125" bestFit="1" customWidth="1"/>
  </cols>
  <sheetData>
    <row r="1" spans="1:2" x14ac:dyDescent="0.35">
      <c r="A1" s="2" t="s">
        <v>10</v>
      </c>
      <c r="B1" t="s">
        <v>66</v>
      </c>
    </row>
    <row r="3" spans="1:2" x14ac:dyDescent="0.35">
      <c r="A3" s="2" t="s">
        <v>154</v>
      </c>
      <c r="B3" t="s">
        <v>167</v>
      </c>
    </row>
    <row r="4" spans="1:2" x14ac:dyDescent="0.35">
      <c r="A4" s="3" t="s">
        <v>127</v>
      </c>
      <c r="B4" s="4">
        <v>4.3859649122807015E-2</v>
      </c>
    </row>
    <row r="5" spans="1:2" x14ac:dyDescent="0.35">
      <c r="A5" s="3" t="s">
        <v>90</v>
      </c>
      <c r="B5" s="4">
        <v>0.20175438596491227</v>
      </c>
    </row>
    <row r="6" spans="1:2" x14ac:dyDescent="0.35">
      <c r="A6" s="3" t="s">
        <v>87</v>
      </c>
      <c r="B6" s="4">
        <v>0.26315789473684209</v>
      </c>
    </row>
    <row r="7" spans="1:2" x14ac:dyDescent="0.35">
      <c r="A7" s="3" t="s">
        <v>102</v>
      </c>
      <c r="B7" s="4">
        <v>0.19298245614035087</v>
      </c>
    </row>
    <row r="8" spans="1:2" x14ac:dyDescent="0.35">
      <c r="A8" s="3" t="s">
        <v>65</v>
      </c>
      <c r="B8" s="4">
        <v>0.2982456140350877</v>
      </c>
    </row>
    <row r="9" spans="1:2" x14ac:dyDescent="0.35">
      <c r="A9" s="3" t="s">
        <v>155</v>
      </c>
      <c r="B9" s="4">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D59FB-2E97-4264-AD8E-B272FE27BD1F}">
  <dimension ref="A5:V18"/>
  <sheetViews>
    <sheetView showGridLines="0" showRowColHeaders="0" zoomScale="80" zoomScaleNormal="80" workbookViewId="0">
      <selection activeCell="G37" sqref="G37"/>
    </sheetView>
  </sheetViews>
  <sheetFormatPr defaultRowHeight="14.5" x14ac:dyDescent="0.35"/>
  <cols>
    <col min="1" max="1" width="9.6328125" customWidth="1"/>
  </cols>
  <sheetData>
    <row r="5" spans="1:22" x14ac:dyDescent="0.35">
      <c r="A5" s="15"/>
      <c r="B5" s="15"/>
    </row>
    <row r="6" spans="1:22" x14ac:dyDescent="0.35">
      <c r="A6" s="15"/>
      <c r="B6" s="15"/>
    </row>
    <row r="7" spans="1:22" x14ac:dyDescent="0.35">
      <c r="U7" s="1" t="s">
        <v>169</v>
      </c>
      <c r="V7" s="1">
        <f>COUNTIF(raw!I:I,1)</f>
        <v>228</v>
      </c>
    </row>
    <row r="8" spans="1:22" x14ac:dyDescent="0.35">
      <c r="U8" s="1" t="s">
        <v>170</v>
      </c>
      <c r="V8" s="1">
        <f>341-V7</f>
        <v>113</v>
      </c>
    </row>
    <row r="14" spans="1:22" ht="14.5" customHeight="1" x14ac:dyDescent="0.35">
      <c r="C14" s="6"/>
      <c r="D14" s="6"/>
    </row>
    <row r="15" spans="1:22" ht="14.5" customHeight="1" x14ac:dyDescent="0.35">
      <c r="C15" s="6"/>
      <c r="D15" s="6"/>
      <c r="E15" s="6"/>
    </row>
    <row r="16" spans="1:22" ht="14.5" customHeight="1" x14ac:dyDescent="0.35">
      <c r="C16" s="16">
        <f>GETPIVOTDATA("Used_QC",'age+app'!$M$4)</f>
        <v>341</v>
      </c>
      <c r="D16" s="16"/>
      <c r="E16" s="16"/>
    </row>
    <row r="17" spans="3:5" ht="14.5" customHeight="1" x14ac:dyDescent="0.35">
      <c r="C17" s="16"/>
      <c r="D17" s="16"/>
      <c r="E17" s="16"/>
    </row>
    <row r="18" spans="3:5" x14ac:dyDescent="0.35">
      <c r="C18" s="16"/>
      <c r="D18" s="16"/>
      <c r="E18" s="16"/>
    </row>
  </sheetData>
  <mergeCells count="2">
    <mergeCell ref="A5:B6"/>
    <mergeCell ref="C16:E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9E84-6FF3-498C-986E-010FE7D3BADA}">
  <dimension ref="A1:BG230"/>
  <sheetViews>
    <sheetView topLeftCell="A2" workbookViewId="0">
      <selection activeCell="A2" sqref="A2:B2"/>
    </sheetView>
  </sheetViews>
  <sheetFormatPr defaultRowHeight="14.5" x14ac:dyDescent="0.35"/>
  <cols>
    <col min="1" max="1" width="6.08984375" bestFit="1" customWidth="1"/>
    <col min="2" max="2" width="12" bestFit="1" customWidth="1"/>
    <col min="3" max="3" width="13.90625" bestFit="1" customWidth="1"/>
    <col min="4" max="4" width="17.7265625" bestFit="1" customWidth="1"/>
    <col min="5" max="5" width="17.81640625" bestFit="1" customWidth="1"/>
    <col min="6" max="6" width="17" bestFit="1" customWidth="1"/>
    <col min="7" max="7" width="11.54296875" bestFit="1" customWidth="1"/>
    <col min="8" max="8" width="10.7265625" bestFit="1" customWidth="1"/>
    <col min="9" max="9" width="16.90625" bestFit="1" customWidth="1"/>
    <col min="10" max="11" width="10.7265625" bestFit="1" customWidth="1"/>
    <col min="12" max="12" width="14.81640625" bestFit="1" customWidth="1"/>
    <col min="13" max="15" width="10.7265625" bestFit="1" customWidth="1"/>
    <col min="16" max="16" width="14.453125" bestFit="1" customWidth="1"/>
    <col min="17" max="17" width="45.36328125" bestFit="1" customWidth="1"/>
    <col min="18" max="18" width="19.36328125" bestFit="1" customWidth="1"/>
    <col min="19" max="19" width="22.1796875" bestFit="1" customWidth="1"/>
    <col min="20" max="20" width="26.54296875" bestFit="1" customWidth="1"/>
    <col min="21" max="21" width="9.08984375" bestFit="1" customWidth="1"/>
    <col min="22" max="22" width="19.26953125" bestFit="1" customWidth="1"/>
    <col min="23" max="23" width="13.90625" bestFit="1" customWidth="1"/>
    <col min="24" max="24" width="12.54296875" bestFit="1" customWidth="1"/>
    <col min="25" max="25" width="9.453125" bestFit="1" customWidth="1"/>
    <col min="26" max="26" width="30" bestFit="1" customWidth="1"/>
    <col min="27" max="27" width="31.08984375" bestFit="1" customWidth="1"/>
    <col min="28" max="28" width="28.453125" bestFit="1" customWidth="1"/>
    <col min="29" max="29" width="29.90625" bestFit="1" customWidth="1"/>
    <col min="30" max="30" width="27.7265625" bestFit="1" customWidth="1"/>
    <col min="31" max="31" width="24.1796875" bestFit="1" customWidth="1"/>
    <col min="32" max="32" width="40.26953125" bestFit="1" customWidth="1"/>
    <col min="33" max="33" width="24.6328125" bestFit="1" customWidth="1"/>
    <col min="34" max="34" width="51" bestFit="1" customWidth="1"/>
    <col min="35" max="35" width="27.26953125" bestFit="1" customWidth="1"/>
    <col min="36" max="36" width="39.90625" bestFit="1" customWidth="1"/>
    <col min="37" max="37" width="39.54296875" bestFit="1" customWidth="1"/>
    <col min="38" max="38" width="44.54296875" bestFit="1" customWidth="1"/>
    <col min="39" max="39" width="40.08984375" bestFit="1" customWidth="1"/>
    <col min="40" max="41" width="21.453125" bestFit="1" customWidth="1"/>
    <col min="42" max="42" width="20.54296875" bestFit="1" customWidth="1"/>
    <col min="43" max="43" width="26.1796875" bestFit="1" customWidth="1"/>
    <col min="44" max="44" width="22.08984375" bestFit="1" customWidth="1"/>
    <col min="45" max="45" width="23.453125" bestFit="1" customWidth="1"/>
    <col min="46" max="46" width="25.90625" bestFit="1" customWidth="1"/>
    <col min="47" max="47" width="33.1796875" bestFit="1" customWidth="1"/>
    <col min="48" max="48" width="31.36328125" bestFit="1" customWidth="1"/>
    <col min="49" max="49" width="11.36328125" bestFit="1" customWidth="1"/>
    <col min="50" max="50" width="36.54296875" bestFit="1" customWidth="1"/>
    <col min="51" max="51" width="47.7265625" bestFit="1" customWidth="1"/>
    <col min="52" max="52" width="46.36328125" bestFit="1" customWidth="1"/>
    <col min="53" max="53" width="58.54296875" bestFit="1" customWidth="1"/>
    <col min="54" max="54" width="67.26953125" bestFit="1" customWidth="1"/>
    <col min="55" max="55" width="80" bestFit="1" customWidth="1"/>
    <col min="56" max="56" width="60.1796875" bestFit="1" customWidth="1"/>
    <col min="57" max="57" width="75.7265625" bestFit="1" customWidth="1"/>
    <col min="58" max="58" width="67.7265625" bestFit="1" customWidth="1"/>
    <col min="59" max="59" width="85.26953125" bestFit="1" customWidth="1"/>
  </cols>
  <sheetData>
    <row r="1" spans="1:59" s="1" customFormat="1" x14ac:dyDescent="0.35">
      <c r="J1" s="9" t="s">
        <v>0</v>
      </c>
      <c r="K1" s="9"/>
      <c r="L1" s="9"/>
      <c r="M1" s="9"/>
      <c r="N1" s="9"/>
      <c r="O1" s="9"/>
      <c r="U1" s="9" t="s">
        <v>1</v>
      </c>
      <c r="V1" s="9"/>
      <c r="W1" s="9"/>
      <c r="X1" s="9"/>
      <c r="Y1" s="9"/>
      <c r="AN1" s="9" t="s">
        <v>2</v>
      </c>
      <c r="AO1" s="9"/>
      <c r="AP1" s="9"/>
      <c r="AQ1" s="9"/>
      <c r="AR1" s="9"/>
      <c r="AS1" s="9"/>
      <c r="AT1" s="9"/>
      <c r="AU1" s="9"/>
      <c r="AV1" s="9"/>
      <c r="AW1" s="9"/>
    </row>
    <row r="2" spans="1:59" s="1" customFormat="1" x14ac:dyDescent="0.3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row>
    <row r="3" spans="1:59" x14ac:dyDescent="0.35">
      <c r="A3">
        <v>22</v>
      </c>
      <c r="B3" t="str" cm="1">
        <f t="array" ref="B3">_xlfn.IFS(A3&lt;=25,"18-25",A3&lt;=33,"26-33",A3&lt;=41,"34-41",A3&lt;=49,"42-49",A3&gt;49,"50 or above")</f>
        <v>18-25</v>
      </c>
      <c r="C3" t="s">
        <v>62</v>
      </c>
      <c r="D3" t="s">
        <v>63</v>
      </c>
      <c r="E3" t="s">
        <v>64</v>
      </c>
      <c r="F3" t="s">
        <v>65</v>
      </c>
      <c r="G3" t="s">
        <v>66</v>
      </c>
      <c r="H3" t="s">
        <v>66</v>
      </c>
      <c r="I3">
        <v>1</v>
      </c>
      <c r="J3" t="s">
        <v>67</v>
      </c>
      <c r="K3" t="s">
        <v>68</v>
      </c>
      <c r="L3" t="s">
        <v>69</v>
      </c>
      <c r="P3" t="s">
        <v>67</v>
      </c>
      <c r="Q3" t="s">
        <v>70</v>
      </c>
      <c r="R3" t="s">
        <v>71</v>
      </c>
      <c r="S3" t="s">
        <v>72</v>
      </c>
      <c r="T3" t="s">
        <v>73</v>
      </c>
      <c r="U3" t="s">
        <v>74</v>
      </c>
      <c r="V3" t="s">
        <v>75</v>
      </c>
      <c r="W3" t="s">
        <v>76</v>
      </c>
      <c r="X3" t="s">
        <v>77</v>
      </c>
      <c r="Z3" t="s">
        <v>78</v>
      </c>
      <c r="AA3" t="s">
        <v>78</v>
      </c>
      <c r="AB3" t="s">
        <v>79</v>
      </c>
      <c r="AC3" t="s">
        <v>80</v>
      </c>
      <c r="AD3" t="s">
        <v>79</v>
      </c>
      <c r="AE3" t="s">
        <v>78</v>
      </c>
      <c r="AF3" t="s">
        <v>80</v>
      </c>
      <c r="AG3" t="s">
        <v>80</v>
      </c>
      <c r="AH3" t="s">
        <v>81</v>
      </c>
      <c r="AI3" t="s">
        <v>80</v>
      </c>
      <c r="AJ3">
        <v>5</v>
      </c>
      <c r="AK3">
        <v>5</v>
      </c>
      <c r="AL3">
        <v>5</v>
      </c>
      <c r="AM3" t="s">
        <v>82</v>
      </c>
      <c r="AN3" t="s">
        <v>83</v>
      </c>
      <c r="AO3" t="s">
        <v>84</v>
      </c>
      <c r="AP3" t="s">
        <v>85</v>
      </c>
    </row>
    <row r="4" spans="1:59" x14ac:dyDescent="0.35">
      <c r="A4">
        <v>21</v>
      </c>
      <c r="B4" t="str" cm="1">
        <f t="array" ref="B4">_xlfn.IFS(A4&lt;=25,"18-25",A4&lt;=33,"26-33",A4&lt;=41,"34-41",A4&lt;=49,"42-49",A4&gt;49,"50 or above")</f>
        <v>18-25</v>
      </c>
      <c r="C4" t="s">
        <v>89</v>
      </c>
      <c r="D4" t="s">
        <v>63</v>
      </c>
      <c r="E4" t="s">
        <v>64</v>
      </c>
      <c r="F4" t="s">
        <v>90</v>
      </c>
      <c r="G4" t="s">
        <v>66</v>
      </c>
      <c r="H4" t="s">
        <v>66</v>
      </c>
      <c r="I4">
        <v>1</v>
      </c>
      <c r="J4" t="s">
        <v>67</v>
      </c>
      <c r="L4" t="s">
        <v>69</v>
      </c>
      <c r="P4" t="s">
        <v>91</v>
      </c>
      <c r="Q4" t="s">
        <v>70</v>
      </c>
      <c r="R4" t="s">
        <v>92</v>
      </c>
      <c r="S4" t="s">
        <v>72</v>
      </c>
      <c r="T4" t="s">
        <v>73</v>
      </c>
      <c r="U4" t="s">
        <v>74</v>
      </c>
      <c r="V4" t="s">
        <v>75</v>
      </c>
      <c r="Z4" t="s">
        <v>78</v>
      </c>
      <c r="AA4" t="s">
        <v>78</v>
      </c>
      <c r="AB4" t="s">
        <v>81</v>
      </c>
      <c r="AC4" t="s">
        <v>81</v>
      </c>
      <c r="AD4" t="s">
        <v>79</v>
      </c>
      <c r="AE4" t="s">
        <v>80</v>
      </c>
      <c r="AF4" t="s">
        <v>80</v>
      </c>
      <c r="AG4" t="s">
        <v>80</v>
      </c>
      <c r="AH4" t="s">
        <v>78</v>
      </c>
      <c r="AI4" t="s">
        <v>78</v>
      </c>
      <c r="AJ4">
        <v>4</v>
      </c>
      <c r="AK4">
        <v>5</v>
      </c>
      <c r="AL4">
        <v>5</v>
      </c>
      <c r="AM4" t="s">
        <v>82</v>
      </c>
    </row>
    <row r="5" spans="1:59" x14ac:dyDescent="0.35">
      <c r="A5">
        <v>23</v>
      </c>
      <c r="B5" t="str" cm="1">
        <f t="array" ref="B5">_xlfn.IFS(A5&lt;=25,"18-25",A5&lt;=33,"26-33",A5&lt;=41,"34-41",A5&lt;=49,"42-49",A5&gt;49,"50 or above")</f>
        <v>18-25</v>
      </c>
      <c r="C5" t="s">
        <v>62</v>
      </c>
      <c r="D5" t="s">
        <v>63</v>
      </c>
      <c r="E5" t="s">
        <v>64</v>
      </c>
      <c r="F5" t="s">
        <v>90</v>
      </c>
      <c r="G5" t="s">
        <v>66</v>
      </c>
      <c r="H5" t="s">
        <v>66</v>
      </c>
      <c r="I5">
        <v>1</v>
      </c>
      <c r="J5" t="s">
        <v>67</v>
      </c>
      <c r="K5" t="s">
        <v>68</v>
      </c>
      <c r="L5" t="s">
        <v>69</v>
      </c>
      <c r="P5" t="s">
        <v>93</v>
      </c>
      <c r="Q5" t="s">
        <v>70</v>
      </c>
      <c r="R5" t="s">
        <v>94</v>
      </c>
      <c r="S5" t="s">
        <v>95</v>
      </c>
      <c r="T5" t="s">
        <v>73</v>
      </c>
      <c r="V5" t="s">
        <v>96</v>
      </c>
      <c r="Z5" t="s">
        <v>78</v>
      </c>
      <c r="AA5" t="s">
        <v>80</v>
      </c>
      <c r="AB5" t="s">
        <v>80</v>
      </c>
      <c r="AC5" t="s">
        <v>78</v>
      </c>
      <c r="AD5" t="s">
        <v>80</v>
      </c>
      <c r="AE5" t="s">
        <v>80</v>
      </c>
      <c r="AF5" t="s">
        <v>81</v>
      </c>
      <c r="AG5" t="s">
        <v>78</v>
      </c>
      <c r="AH5" t="s">
        <v>79</v>
      </c>
      <c r="AI5" t="s">
        <v>78</v>
      </c>
      <c r="AJ5">
        <v>5</v>
      </c>
      <c r="AK5">
        <v>5</v>
      </c>
      <c r="AL5">
        <v>5</v>
      </c>
      <c r="AM5" t="s">
        <v>97</v>
      </c>
    </row>
    <row r="6" spans="1:59" x14ac:dyDescent="0.35">
      <c r="A6">
        <v>22</v>
      </c>
      <c r="B6" t="str" cm="1">
        <f t="array" ref="B6">_xlfn.IFS(A6&lt;=25,"18-25",A6&lt;=33,"26-33",A6&lt;=41,"34-41",A6&lt;=49,"42-49",A6&gt;49,"50 or above")</f>
        <v>18-25</v>
      </c>
      <c r="C6" t="s">
        <v>89</v>
      </c>
      <c r="D6" t="s">
        <v>63</v>
      </c>
      <c r="E6" t="s">
        <v>64</v>
      </c>
      <c r="F6" t="s">
        <v>87</v>
      </c>
      <c r="G6" t="s">
        <v>66</v>
      </c>
      <c r="H6" t="s">
        <v>66</v>
      </c>
      <c r="I6">
        <v>1</v>
      </c>
      <c r="J6" t="s">
        <v>67</v>
      </c>
      <c r="P6" t="s">
        <v>67</v>
      </c>
      <c r="Q6" t="s">
        <v>98</v>
      </c>
      <c r="R6" t="s">
        <v>94</v>
      </c>
      <c r="S6" t="s">
        <v>72</v>
      </c>
      <c r="T6" t="s">
        <v>99</v>
      </c>
      <c r="V6" t="s">
        <v>96</v>
      </c>
      <c r="W6" t="s">
        <v>76</v>
      </c>
      <c r="Z6" t="s">
        <v>78</v>
      </c>
      <c r="AA6" t="s">
        <v>80</v>
      </c>
      <c r="AB6" t="s">
        <v>81</v>
      </c>
      <c r="AC6" t="s">
        <v>78</v>
      </c>
      <c r="AD6" t="s">
        <v>79</v>
      </c>
      <c r="AE6" t="s">
        <v>78</v>
      </c>
      <c r="AF6" t="s">
        <v>80</v>
      </c>
      <c r="AG6" t="s">
        <v>78</v>
      </c>
      <c r="AH6" t="s">
        <v>78</v>
      </c>
      <c r="AI6" t="s">
        <v>78</v>
      </c>
      <c r="AJ6">
        <v>4</v>
      </c>
      <c r="AK6">
        <v>4</v>
      </c>
      <c r="AL6">
        <v>5</v>
      </c>
      <c r="AM6" t="s">
        <v>82</v>
      </c>
    </row>
    <row r="7" spans="1:59" x14ac:dyDescent="0.35">
      <c r="A7">
        <v>22</v>
      </c>
      <c r="B7" t="str" cm="1">
        <f t="array" ref="B7">_xlfn.IFS(A7&lt;=25,"18-25",A7&lt;=33,"26-33",A7&lt;=41,"34-41",A7&lt;=49,"42-49",A7&gt;49,"50 or above")</f>
        <v>18-25</v>
      </c>
      <c r="C7" t="s">
        <v>62</v>
      </c>
      <c r="D7" t="s">
        <v>63</v>
      </c>
      <c r="E7" t="s">
        <v>64</v>
      </c>
      <c r="F7" t="s">
        <v>65</v>
      </c>
      <c r="G7" t="s">
        <v>66</v>
      </c>
      <c r="H7" t="s">
        <v>66</v>
      </c>
      <c r="I7">
        <v>1</v>
      </c>
      <c r="J7" t="s">
        <v>67</v>
      </c>
      <c r="K7" t="s">
        <v>68</v>
      </c>
      <c r="L7" t="s">
        <v>69</v>
      </c>
      <c r="M7" t="s">
        <v>100</v>
      </c>
      <c r="P7" t="s">
        <v>67</v>
      </c>
      <c r="Q7" t="s">
        <v>98</v>
      </c>
      <c r="R7" t="s">
        <v>92</v>
      </c>
      <c r="S7" t="s">
        <v>95</v>
      </c>
      <c r="T7" t="s">
        <v>73</v>
      </c>
      <c r="V7" t="s">
        <v>96</v>
      </c>
      <c r="Z7" t="s">
        <v>80</v>
      </c>
      <c r="AA7" t="s">
        <v>81</v>
      </c>
      <c r="AB7" t="s">
        <v>80</v>
      </c>
      <c r="AC7" t="s">
        <v>78</v>
      </c>
      <c r="AD7" t="s">
        <v>79</v>
      </c>
      <c r="AE7" t="s">
        <v>81</v>
      </c>
      <c r="AF7" t="s">
        <v>79</v>
      </c>
      <c r="AG7" t="s">
        <v>80</v>
      </c>
      <c r="AH7" t="s">
        <v>101</v>
      </c>
      <c r="AI7" t="s">
        <v>79</v>
      </c>
      <c r="AJ7">
        <v>4</v>
      </c>
      <c r="AK7">
        <v>3</v>
      </c>
      <c r="AL7">
        <v>3</v>
      </c>
      <c r="AM7" t="s">
        <v>82</v>
      </c>
    </row>
    <row r="8" spans="1:59" x14ac:dyDescent="0.35">
      <c r="A8">
        <v>20</v>
      </c>
      <c r="B8" t="str" cm="1">
        <f t="array" ref="B8">_xlfn.IFS(A8&lt;=25,"18-25",A8&lt;=33,"26-33",A8&lt;=41,"34-41",A8&lt;=49,"42-49",A8&gt;49,"50 or above")</f>
        <v>18-25</v>
      </c>
      <c r="C8" t="s">
        <v>89</v>
      </c>
      <c r="D8" t="s">
        <v>63</v>
      </c>
      <c r="E8" t="s">
        <v>64</v>
      </c>
      <c r="F8" t="s">
        <v>102</v>
      </c>
      <c r="G8" t="s">
        <v>66</v>
      </c>
      <c r="H8" t="s">
        <v>66</v>
      </c>
      <c r="I8">
        <v>1</v>
      </c>
      <c r="J8" t="s">
        <v>67</v>
      </c>
      <c r="K8" t="s">
        <v>68</v>
      </c>
      <c r="L8" t="s">
        <v>69</v>
      </c>
      <c r="P8" t="s">
        <v>67</v>
      </c>
      <c r="Q8" t="s">
        <v>103</v>
      </c>
      <c r="R8" t="s">
        <v>92</v>
      </c>
      <c r="S8" t="s">
        <v>72</v>
      </c>
      <c r="T8" t="s">
        <v>99</v>
      </c>
      <c r="U8" t="s">
        <v>74</v>
      </c>
      <c r="V8" t="s">
        <v>75</v>
      </c>
      <c r="W8" t="s">
        <v>76</v>
      </c>
      <c r="X8" t="s">
        <v>77</v>
      </c>
      <c r="Z8" t="s">
        <v>80</v>
      </c>
      <c r="AA8" t="s">
        <v>80</v>
      </c>
      <c r="AB8" t="s">
        <v>78</v>
      </c>
      <c r="AC8" t="s">
        <v>81</v>
      </c>
      <c r="AD8" t="s">
        <v>81</v>
      </c>
      <c r="AE8" t="s">
        <v>80</v>
      </c>
      <c r="AF8" t="s">
        <v>78</v>
      </c>
      <c r="AG8" t="s">
        <v>80</v>
      </c>
      <c r="AH8" t="s">
        <v>81</v>
      </c>
      <c r="AI8" t="s">
        <v>81</v>
      </c>
      <c r="AJ8">
        <v>5</v>
      </c>
      <c r="AK8">
        <v>4</v>
      </c>
      <c r="AL8">
        <v>4</v>
      </c>
      <c r="AM8" t="s">
        <v>104</v>
      </c>
    </row>
    <row r="9" spans="1:59" x14ac:dyDescent="0.35">
      <c r="A9">
        <v>30</v>
      </c>
      <c r="B9" t="str" cm="1">
        <f t="array" ref="B9">_xlfn.IFS(A9&lt;=25,"18-25",A9&lt;=33,"26-33",A9&lt;=41,"34-41",A9&lt;=49,"42-49",A9&gt;49,"50 or above")</f>
        <v>26-33</v>
      </c>
      <c r="C9" t="s">
        <v>62</v>
      </c>
      <c r="D9" t="s">
        <v>105</v>
      </c>
      <c r="E9" t="s">
        <v>86</v>
      </c>
      <c r="F9" t="s">
        <v>65</v>
      </c>
      <c r="G9" t="s">
        <v>66</v>
      </c>
      <c r="H9" t="s">
        <v>66</v>
      </c>
      <c r="I9">
        <v>1</v>
      </c>
      <c r="J9" t="s">
        <v>67</v>
      </c>
      <c r="K9" t="s">
        <v>68</v>
      </c>
      <c r="L9" t="s">
        <v>69</v>
      </c>
      <c r="P9" t="s">
        <v>67</v>
      </c>
      <c r="Q9" t="s">
        <v>70</v>
      </c>
      <c r="R9" t="s">
        <v>92</v>
      </c>
      <c r="S9" t="s">
        <v>72</v>
      </c>
      <c r="T9" t="s">
        <v>73</v>
      </c>
      <c r="U9" t="s">
        <v>74</v>
      </c>
      <c r="V9" t="s">
        <v>75</v>
      </c>
      <c r="W9" t="s">
        <v>76</v>
      </c>
      <c r="X9" t="s">
        <v>77</v>
      </c>
      <c r="Z9" t="s">
        <v>78</v>
      </c>
      <c r="AA9" t="s">
        <v>78</v>
      </c>
      <c r="AB9" t="s">
        <v>81</v>
      </c>
      <c r="AC9" t="s">
        <v>80</v>
      </c>
      <c r="AD9" t="s">
        <v>80</v>
      </c>
      <c r="AE9" t="s">
        <v>78</v>
      </c>
      <c r="AF9" t="s">
        <v>78</v>
      </c>
      <c r="AG9" t="s">
        <v>78</v>
      </c>
      <c r="AH9" t="s">
        <v>78</v>
      </c>
      <c r="AI9" t="s">
        <v>78</v>
      </c>
      <c r="AJ9">
        <v>5</v>
      </c>
      <c r="AK9">
        <v>5</v>
      </c>
      <c r="AL9">
        <v>5</v>
      </c>
      <c r="AM9" t="s">
        <v>82</v>
      </c>
    </row>
    <row r="10" spans="1:59" x14ac:dyDescent="0.35">
      <c r="A10">
        <v>23</v>
      </c>
      <c r="B10" t="str" cm="1">
        <f t="array" ref="B10">_xlfn.IFS(A10&lt;=25,"18-25",A10&lt;=33,"26-33",A10&lt;=41,"34-41",A10&lt;=49,"42-49",A10&gt;49,"50 or above")</f>
        <v>18-25</v>
      </c>
      <c r="C10" t="s">
        <v>62</v>
      </c>
      <c r="D10" t="s">
        <v>63</v>
      </c>
      <c r="E10" t="s">
        <v>64</v>
      </c>
      <c r="F10" t="s">
        <v>65</v>
      </c>
      <c r="G10" t="s">
        <v>66</v>
      </c>
      <c r="H10" t="s">
        <v>66</v>
      </c>
      <c r="I10">
        <v>1</v>
      </c>
      <c r="J10" t="s">
        <v>67</v>
      </c>
      <c r="K10" t="s">
        <v>68</v>
      </c>
      <c r="L10" t="s">
        <v>69</v>
      </c>
      <c r="P10" t="s">
        <v>67</v>
      </c>
      <c r="Q10" t="s">
        <v>70</v>
      </c>
      <c r="R10" t="s">
        <v>92</v>
      </c>
      <c r="S10" t="s">
        <v>95</v>
      </c>
      <c r="T10" t="s">
        <v>73</v>
      </c>
      <c r="U10" t="s">
        <v>74</v>
      </c>
      <c r="V10" t="s">
        <v>75</v>
      </c>
      <c r="W10" t="s">
        <v>76</v>
      </c>
      <c r="X10" t="s">
        <v>77</v>
      </c>
      <c r="Z10" t="s">
        <v>80</v>
      </c>
      <c r="AA10" t="s">
        <v>78</v>
      </c>
      <c r="AB10" t="s">
        <v>78</v>
      </c>
      <c r="AC10" t="s">
        <v>81</v>
      </c>
      <c r="AD10" t="s">
        <v>81</v>
      </c>
      <c r="AE10" t="s">
        <v>80</v>
      </c>
      <c r="AF10" t="s">
        <v>80</v>
      </c>
      <c r="AG10" t="s">
        <v>78</v>
      </c>
      <c r="AH10" t="s">
        <v>79</v>
      </c>
      <c r="AI10" t="s">
        <v>80</v>
      </c>
      <c r="AJ10">
        <v>4</v>
      </c>
      <c r="AK10">
        <v>5</v>
      </c>
      <c r="AL10">
        <v>4</v>
      </c>
      <c r="AM10" t="s">
        <v>82</v>
      </c>
    </row>
    <row r="11" spans="1:59" x14ac:dyDescent="0.35">
      <c r="A11">
        <v>30</v>
      </c>
      <c r="B11" t="str" cm="1">
        <f t="array" ref="B11">_xlfn.IFS(A11&lt;=25,"18-25",A11&lt;=33,"26-33",A11&lt;=41,"34-41",A11&lt;=49,"42-49",A11&gt;49,"50 or above")</f>
        <v>26-33</v>
      </c>
      <c r="C11" t="s">
        <v>89</v>
      </c>
      <c r="D11" t="s">
        <v>105</v>
      </c>
      <c r="E11" t="s">
        <v>86</v>
      </c>
      <c r="F11" t="s">
        <v>87</v>
      </c>
      <c r="G11" t="s">
        <v>66</v>
      </c>
      <c r="H11" t="s">
        <v>66</v>
      </c>
      <c r="I11">
        <v>1</v>
      </c>
      <c r="J11" t="s">
        <v>67</v>
      </c>
      <c r="K11" t="s">
        <v>68</v>
      </c>
      <c r="L11" t="s">
        <v>69</v>
      </c>
      <c r="N11" t="s">
        <v>106</v>
      </c>
      <c r="P11" t="s">
        <v>67</v>
      </c>
      <c r="Q11" t="s">
        <v>70</v>
      </c>
      <c r="R11" t="s">
        <v>92</v>
      </c>
      <c r="S11" t="s">
        <v>107</v>
      </c>
      <c r="T11" t="s">
        <v>73</v>
      </c>
      <c r="U11" t="s">
        <v>74</v>
      </c>
      <c r="V11" t="s">
        <v>75</v>
      </c>
      <c r="W11" t="s">
        <v>76</v>
      </c>
      <c r="X11" t="s">
        <v>77</v>
      </c>
      <c r="Y11" t="s">
        <v>108</v>
      </c>
      <c r="Z11" t="s">
        <v>80</v>
      </c>
      <c r="AA11" t="s">
        <v>80</v>
      </c>
      <c r="AB11" t="s">
        <v>79</v>
      </c>
      <c r="AC11" t="s">
        <v>81</v>
      </c>
      <c r="AD11" t="s">
        <v>81</v>
      </c>
      <c r="AE11" t="s">
        <v>80</v>
      </c>
      <c r="AF11" t="s">
        <v>81</v>
      </c>
      <c r="AG11" t="s">
        <v>81</v>
      </c>
      <c r="AH11" t="s">
        <v>81</v>
      </c>
      <c r="AI11" t="s">
        <v>81</v>
      </c>
      <c r="AJ11">
        <v>3</v>
      </c>
      <c r="AK11">
        <v>4</v>
      </c>
      <c r="AL11">
        <v>4</v>
      </c>
      <c r="AM11" t="s">
        <v>104</v>
      </c>
    </row>
    <row r="12" spans="1:59" x14ac:dyDescent="0.35">
      <c r="A12">
        <v>29</v>
      </c>
      <c r="B12" t="str" cm="1">
        <f t="array" ref="B12">_xlfn.IFS(A12&lt;=25,"18-25",A12&lt;=33,"26-33",A12&lt;=41,"34-41",A12&lt;=49,"42-49",A12&gt;49,"50 or above")</f>
        <v>26-33</v>
      </c>
      <c r="C12" t="s">
        <v>62</v>
      </c>
      <c r="D12" t="s">
        <v>63</v>
      </c>
      <c r="E12" t="s">
        <v>109</v>
      </c>
      <c r="F12" t="s">
        <v>87</v>
      </c>
      <c r="G12" t="s">
        <v>66</v>
      </c>
      <c r="H12" t="s">
        <v>66</v>
      </c>
      <c r="I12">
        <v>1</v>
      </c>
      <c r="J12" t="s">
        <v>67</v>
      </c>
      <c r="K12" t="s">
        <v>68</v>
      </c>
      <c r="L12" t="s">
        <v>69</v>
      </c>
      <c r="P12" t="s">
        <v>67</v>
      </c>
      <c r="Q12" t="s">
        <v>70</v>
      </c>
      <c r="R12" t="s">
        <v>71</v>
      </c>
      <c r="S12" t="s">
        <v>72</v>
      </c>
      <c r="T12" t="s">
        <v>73</v>
      </c>
      <c r="U12" t="s">
        <v>74</v>
      </c>
      <c r="V12" t="s">
        <v>75</v>
      </c>
      <c r="W12" t="s">
        <v>76</v>
      </c>
      <c r="X12" t="s">
        <v>77</v>
      </c>
      <c r="Z12" t="s">
        <v>78</v>
      </c>
      <c r="AA12" t="s">
        <v>80</v>
      </c>
      <c r="AB12" t="s">
        <v>78</v>
      </c>
      <c r="AC12" t="s">
        <v>78</v>
      </c>
      <c r="AD12" t="s">
        <v>78</v>
      </c>
      <c r="AE12" t="s">
        <v>80</v>
      </c>
      <c r="AF12" t="s">
        <v>78</v>
      </c>
      <c r="AG12" t="s">
        <v>78</v>
      </c>
      <c r="AH12" t="s">
        <v>78</v>
      </c>
      <c r="AI12" t="s">
        <v>78</v>
      </c>
      <c r="AJ12">
        <v>5</v>
      </c>
      <c r="AK12">
        <v>5</v>
      </c>
      <c r="AL12">
        <v>5</v>
      </c>
      <c r="AM12" t="s">
        <v>104</v>
      </c>
    </row>
    <row r="13" spans="1:59" x14ac:dyDescent="0.35">
      <c r="A13">
        <v>50</v>
      </c>
      <c r="B13" t="str" cm="1">
        <f t="array" ref="B13">_xlfn.IFS(A13&lt;=25,"18-25",A13&lt;=33,"26-33",A13&lt;=41,"34-41",A13&lt;=49,"42-49",A13&gt;49,"50 or above")</f>
        <v>50 or above</v>
      </c>
      <c r="C13" t="s">
        <v>89</v>
      </c>
      <c r="D13" t="s">
        <v>63</v>
      </c>
      <c r="E13" t="s">
        <v>86</v>
      </c>
      <c r="F13" t="s">
        <v>90</v>
      </c>
      <c r="G13" t="s">
        <v>66</v>
      </c>
      <c r="H13" t="s">
        <v>66</v>
      </c>
      <c r="I13">
        <v>1</v>
      </c>
      <c r="J13" t="s">
        <v>67</v>
      </c>
      <c r="K13" t="s">
        <v>68</v>
      </c>
      <c r="L13" t="s">
        <v>69</v>
      </c>
      <c r="P13" t="s">
        <v>91</v>
      </c>
      <c r="Q13" t="s">
        <v>70</v>
      </c>
      <c r="R13" t="s">
        <v>110</v>
      </c>
      <c r="S13" t="s">
        <v>107</v>
      </c>
      <c r="T13" t="s">
        <v>73</v>
      </c>
      <c r="U13" t="s">
        <v>74</v>
      </c>
      <c r="Z13" t="s">
        <v>80</v>
      </c>
      <c r="AA13" t="s">
        <v>80</v>
      </c>
      <c r="AB13" t="s">
        <v>81</v>
      </c>
      <c r="AC13" t="s">
        <v>81</v>
      </c>
      <c r="AD13" t="s">
        <v>81</v>
      </c>
      <c r="AE13" t="s">
        <v>80</v>
      </c>
      <c r="AF13" t="s">
        <v>78</v>
      </c>
      <c r="AG13" t="s">
        <v>80</v>
      </c>
      <c r="AH13" t="s">
        <v>81</v>
      </c>
      <c r="AI13" t="s">
        <v>80</v>
      </c>
      <c r="AJ13">
        <v>4</v>
      </c>
      <c r="AK13">
        <v>4</v>
      </c>
      <c r="AL13">
        <v>4</v>
      </c>
      <c r="AM13" t="s">
        <v>82</v>
      </c>
    </row>
    <row r="14" spans="1:59" x14ac:dyDescent="0.35">
      <c r="A14">
        <v>43</v>
      </c>
      <c r="B14" t="str" cm="1">
        <f t="array" ref="B14">_xlfn.IFS(A14&lt;=25,"18-25",A14&lt;=33,"26-33",A14&lt;=41,"34-41",A14&lt;=49,"42-49",A14&gt;49,"50 or above")</f>
        <v>42-49</v>
      </c>
      <c r="C14" t="s">
        <v>89</v>
      </c>
      <c r="D14" t="s">
        <v>105</v>
      </c>
      <c r="E14" t="s">
        <v>86</v>
      </c>
      <c r="F14" t="s">
        <v>90</v>
      </c>
      <c r="G14" t="s">
        <v>66</v>
      </c>
      <c r="H14" t="s">
        <v>66</v>
      </c>
      <c r="I14">
        <v>1</v>
      </c>
      <c r="J14" t="s">
        <v>67</v>
      </c>
      <c r="L14" t="s">
        <v>69</v>
      </c>
      <c r="O14" t="s">
        <v>111</v>
      </c>
      <c r="P14" t="s">
        <v>111</v>
      </c>
      <c r="Q14" t="s">
        <v>70</v>
      </c>
      <c r="R14" t="s">
        <v>92</v>
      </c>
      <c r="S14" t="s">
        <v>72</v>
      </c>
      <c r="T14" t="s">
        <v>73</v>
      </c>
      <c r="U14" t="s">
        <v>74</v>
      </c>
      <c r="V14" t="s">
        <v>75</v>
      </c>
      <c r="W14" t="s">
        <v>76</v>
      </c>
      <c r="X14" t="s">
        <v>108</v>
      </c>
      <c r="Z14" t="s">
        <v>80</v>
      </c>
      <c r="AA14" t="s">
        <v>80</v>
      </c>
      <c r="AB14" t="s">
        <v>80</v>
      </c>
      <c r="AC14" t="s">
        <v>80</v>
      </c>
      <c r="AD14" t="s">
        <v>81</v>
      </c>
      <c r="AE14" t="s">
        <v>80</v>
      </c>
      <c r="AF14" t="s">
        <v>80</v>
      </c>
      <c r="AG14" t="s">
        <v>80</v>
      </c>
      <c r="AH14" t="s">
        <v>80</v>
      </c>
      <c r="AI14" t="s">
        <v>80</v>
      </c>
      <c r="AJ14">
        <v>2</v>
      </c>
      <c r="AK14">
        <v>2</v>
      </c>
      <c r="AL14">
        <v>3</v>
      </c>
      <c r="AM14" t="s">
        <v>104</v>
      </c>
    </row>
    <row r="15" spans="1:59" x14ac:dyDescent="0.35">
      <c r="A15">
        <v>29</v>
      </c>
      <c r="B15" t="str" cm="1">
        <f t="array" ref="B15">_xlfn.IFS(A15&lt;=25,"18-25",A15&lt;=33,"26-33",A15&lt;=41,"34-41",A15&lt;=49,"42-49",A15&gt;49,"50 or above")</f>
        <v>26-33</v>
      </c>
      <c r="C15" t="s">
        <v>89</v>
      </c>
      <c r="D15" t="s">
        <v>63</v>
      </c>
      <c r="E15" t="s">
        <v>86</v>
      </c>
      <c r="F15" t="s">
        <v>90</v>
      </c>
      <c r="G15" t="s">
        <v>66</v>
      </c>
      <c r="H15" t="s">
        <v>66</v>
      </c>
      <c r="I15">
        <v>1</v>
      </c>
      <c r="J15" t="s">
        <v>67</v>
      </c>
      <c r="L15" t="s">
        <v>69</v>
      </c>
      <c r="O15" t="s">
        <v>111</v>
      </c>
      <c r="P15" t="s">
        <v>111</v>
      </c>
      <c r="Q15" t="s">
        <v>70</v>
      </c>
      <c r="R15" t="s">
        <v>110</v>
      </c>
      <c r="S15" t="s">
        <v>107</v>
      </c>
      <c r="T15" t="s">
        <v>112</v>
      </c>
      <c r="U15" t="s">
        <v>74</v>
      </c>
      <c r="V15" t="s">
        <v>75</v>
      </c>
      <c r="Z15" t="s">
        <v>80</v>
      </c>
      <c r="AA15" t="s">
        <v>78</v>
      </c>
      <c r="AB15" t="s">
        <v>81</v>
      </c>
      <c r="AC15" t="s">
        <v>80</v>
      </c>
      <c r="AD15" t="s">
        <v>81</v>
      </c>
      <c r="AE15" t="s">
        <v>80</v>
      </c>
      <c r="AF15" t="s">
        <v>80</v>
      </c>
      <c r="AG15" t="s">
        <v>80</v>
      </c>
      <c r="AH15" t="s">
        <v>81</v>
      </c>
      <c r="AI15" t="s">
        <v>80</v>
      </c>
      <c r="AJ15">
        <v>3</v>
      </c>
      <c r="AK15">
        <v>4</v>
      </c>
      <c r="AL15">
        <v>4</v>
      </c>
      <c r="AM15" t="s">
        <v>104</v>
      </c>
    </row>
    <row r="16" spans="1:59" x14ac:dyDescent="0.35">
      <c r="A16">
        <v>19</v>
      </c>
      <c r="B16" t="str" cm="1">
        <f t="array" ref="B16">_xlfn.IFS(A16&lt;=25,"18-25",A16&lt;=33,"26-33",A16&lt;=41,"34-41",A16&lt;=49,"42-49",A16&gt;49,"50 or above")</f>
        <v>18-25</v>
      </c>
      <c r="C16" t="s">
        <v>89</v>
      </c>
      <c r="D16" t="s">
        <v>63</v>
      </c>
      <c r="E16" t="s">
        <v>64</v>
      </c>
      <c r="F16" t="s">
        <v>65</v>
      </c>
      <c r="G16" t="s">
        <v>66</v>
      </c>
      <c r="H16" t="s">
        <v>66</v>
      </c>
      <c r="I16">
        <v>1</v>
      </c>
      <c r="J16" t="s">
        <v>67</v>
      </c>
      <c r="K16" t="s">
        <v>68</v>
      </c>
      <c r="L16" t="s">
        <v>69</v>
      </c>
      <c r="O16" t="s">
        <v>111</v>
      </c>
      <c r="P16" t="s">
        <v>111</v>
      </c>
      <c r="Q16" t="s">
        <v>98</v>
      </c>
      <c r="R16" t="s">
        <v>92</v>
      </c>
      <c r="S16" t="s">
        <v>113</v>
      </c>
      <c r="T16" t="s">
        <v>73</v>
      </c>
      <c r="U16" t="s">
        <v>74</v>
      </c>
      <c r="W16" t="s">
        <v>76</v>
      </c>
      <c r="X16" t="s">
        <v>77</v>
      </c>
      <c r="Z16" t="s">
        <v>78</v>
      </c>
      <c r="AA16" t="s">
        <v>81</v>
      </c>
      <c r="AB16" t="s">
        <v>80</v>
      </c>
      <c r="AC16" t="s">
        <v>101</v>
      </c>
      <c r="AD16" t="s">
        <v>78</v>
      </c>
      <c r="AE16" t="s">
        <v>78</v>
      </c>
      <c r="AF16" t="s">
        <v>81</v>
      </c>
      <c r="AG16" t="s">
        <v>101</v>
      </c>
      <c r="AH16" t="s">
        <v>101</v>
      </c>
      <c r="AI16" t="s">
        <v>78</v>
      </c>
      <c r="AJ16">
        <v>4</v>
      </c>
      <c r="AK16">
        <v>5</v>
      </c>
      <c r="AL16">
        <v>4</v>
      </c>
      <c r="AM16" t="s">
        <v>104</v>
      </c>
    </row>
    <row r="17" spans="1:44" x14ac:dyDescent="0.35">
      <c r="A17">
        <v>22</v>
      </c>
      <c r="B17" t="str" cm="1">
        <f t="array" ref="B17">_xlfn.IFS(A17&lt;=25,"18-25",A17&lt;=33,"26-33",A17&lt;=41,"34-41",A17&lt;=49,"42-49",A17&gt;49,"50 or above")</f>
        <v>18-25</v>
      </c>
      <c r="C17" t="s">
        <v>62</v>
      </c>
      <c r="D17" t="s">
        <v>63</v>
      </c>
      <c r="E17" t="s">
        <v>64</v>
      </c>
      <c r="F17" t="s">
        <v>65</v>
      </c>
      <c r="G17" t="s">
        <v>66</v>
      </c>
      <c r="H17" t="s">
        <v>66</v>
      </c>
      <c r="I17">
        <v>1</v>
      </c>
      <c r="J17" t="s">
        <v>67</v>
      </c>
      <c r="K17" t="s">
        <v>68</v>
      </c>
      <c r="L17" t="s">
        <v>69</v>
      </c>
      <c r="M17" t="s">
        <v>114</v>
      </c>
      <c r="P17" t="s">
        <v>67</v>
      </c>
      <c r="Q17" t="s">
        <v>70</v>
      </c>
      <c r="R17" t="s">
        <v>92</v>
      </c>
      <c r="S17" t="s">
        <v>72</v>
      </c>
      <c r="T17" t="s">
        <v>73</v>
      </c>
      <c r="U17" t="s">
        <v>74</v>
      </c>
      <c r="V17" t="s">
        <v>75</v>
      </c>
      <c r="X17" t="s">
        <v>77</v>
      </c>
      <c r="Z17" t="s">
        <v>78</v>
      </c>
      <c r="AA17" t="s">
        <v>80</v>
      </c>
      <c r="AB17" t="s">
        <v>81</v>
      </c>
      <c r="AC17" t="s">
        <v>81</v>
      </c>
      <c r="AD17" t="s">
        <v>81</v>
      </c>
      <c r="AE17" t="s">
        <v>81</v>
      </c>
      <c r="AF17" t="s">
        <v>78</v>
      </c>
      <c r="AG17" t="s">
        <v>80</v>
      </c>
      <c r="AH17" t="s">
        <v>80</v>
      </c>
      <c r="AI17" t="s">
        <v>78</v>
      </c>
      <c r="AJ17">
        <v>4</v>
      </c>
      <c r="AK17">
        <v>4</v>
      </c>
      <c r="AL17">
        <v>5</v>
      </c>
      <c r="AM17" t="s">
        <v>82</v>
      </c>
    </row>
    <row r="18" spans="1:44" x14ac:dyDescent="0.35">
      <c r="A18">
        <v>50</v>
      </c>
      <c r="B18" t="str" cm="1">
        <f t="array" ref="B18">_xlfn.IFS(A18&lt;=25,"18-25",A18&lt;=33,"26-33",A18&lt;=41,"34-41",A18&lt;=49,"42-49",A18&gt;49,"50 or above")</f>
        <v>50 or above</v>
      </c>
      <c r="C18" t="s">
        <v>89</v>
      </c>
      <c r="D18" t="s">
        <v>105</v>
      </c>
      <c r="E18" t="s">
        <v>86</v>
      </c>
      <c r="F18" t="s">
        <v>65</v>
      </c>
      <c r="G18" t="s">
        <v>66</v>
      </c>
      <c r="H18" t="s">
        <v>66</v>
      </c>
      <c r="I18">
        <v>1</v>
      </c>
      <c r="J18" t="s">
        <v>67</v>
      </c>
      <c r="K18" t="s">
        <v>68</v>
      </c>
      <c r="L18" t="s">
        <v>69</v>
      </c>
      <c r="P18" t="s">
        <v>93</v>
      </c>
      <c r="Q18" t="s">
        <v>70</v>
      </c>
      <c r="R18" t="s">
        <v>110</v>
      </c>
      <c r="S18" t="s">
        <v>95</v>
      </c>
      <c r="T18" t="s">
        <v>99</v>
      </c>
      <c r="U18" t="s">
        <v>74</v>
      </c>
      <c r="V18" t="s">
        <v>75</v>
      </c>
      <c r="W18" t="s">
        <v>76</v>
      </c>
      <c r="X18" t="s">
        <v>77</v>
      </c>
      <c r="Z18" t="s">
        <v>78</v>
      </c>
      <c r="AA18" t="s">
        <v>78</v>
      </c>
      <c r="AB18" t="s">
        <v>80</v>
      </c>
      <c r="AC18" t="s">
        <v>81</v>
      </c>
      <c r="AD18" t="s">
        <v>80</v>
      </c>
      <c r="AE18" t="s">
        <v>79</v>
      </c>
      <c r="AF18" t="s">
        <v>80</v>
      </c>
      <c r="AG18" t="s">
        <v>79</v>
      </c>
      <c r="AH18" t="s">
        <v>80</v>
      </c>
      <c r="AI18" t="s">
        <v>80</v>
      </c>
      <c r="AJ18">
        <v>5</v>
      </c>
      <c r="AK18">
        <v>5</v>
      </c>
      <c r="AL18">
        <v>5</v>
      </c>
      <c r="AM18" t="s">
        <v>104</v>
      </c>
    </row>
    <row r="19" spans="1:44" x14ac:dyDescent="0.35">
      <c r="A19">
        <v>46</v>
      </c>
      <c r="B19" t="str" cm="1">
        <f t="array" ref="B19">_xlfn.IFS(A19&lt;=25,"18-25",A19&lt;=33,"26-33",A19&lt;=41,"34-41",A19&lt;=49,"42-49",A19&gt;49,"50 or above")</f>
        <v>42-49</v>
      </c>
      <c r="C19" t="s">
        <v>62</v>
      </c>
      <c r="D19" t="s">
        <v>105</v>
      </c>
      <c r="E19" t="s">
        <v>109</v>
      </c>
      <c r="F19" t="s">
        <v>102</v>
      </c>
      <c r="G19" t="s">
        <v>66</v>
      </c>
      <c r="H19" t="s">
        <v>66</v>
      </c>
      <c r="I19">
        <v>1</v>
      </c>
      <c r="J19" t="s">
        <v>67</v>
      </c>
      <c r="K19" t="s">
        <v>68</v>
      </c>
      <c r="L19" t="s">
        <v>69</v>
      </c>
      <c r="P19" t="s">
        <v>67</v>
      </c>
      <c r="Q19" t="s">
        <v>103</v>
      </c>
      <c r="R19" t="s">
        <v>94</v>
      </c>
      <c r="S19" t="s">
        <v>113</v>
      </c>
      <c r="T19" t="s">
        <v>73</v>
      </c>
      <c r="V19" t="s">
        <v>96</v>
      </c>
      <c r="Z19" t="s">
        <v>81</v>
      </c>
      <c r="AA19" t="s">
        <v>80</v>
      </c>
      <c r="AB19" t="s">
        <v>79</v>
      </c>
      <c r="AC19" t="s">
        <v>80</v>
      </c>
      <c r="AD19" t="s">
        <v>101</v>
      </c>
      <c r="AE19" t="s">
        <v>81</v>
      </c>
      <c r="AF19" t="s">
        <v>80</v>
      </c>
      <c r="AG19" t="s">
        <v>80</v>
      </c>
      <c r="AH19" t="s">
        <v>80</v>
      </c>
      <c r="AI19" t="s">
        <v>80</v>
      </c>
      <c r="AJ19">
        <v>3</v>
      </c>
      <c r="AK19">
        <v>3</v>
      </c>
      <c r="AL19">
        <v>1</v>
      </c>
      <c r="AM19" t="s">
        <v>115</v>
      </c>
    </row>
    <row r="20" spans="1:44" x14ac:dyDescent="0.35">
      <c r="A20">
        <v>38</v>
      </c>
      <c r="B20" t="str" cm="1">
        <f t="array" ref="B20">_xlfn.IFS(A20&lt;=25,"18-25",A20&lt;=33,"26-33",A20&lt;=41,"34-41",A20&lt;=49,"42-49",A20&gt;49,"50 or above")</f>
        <v>34-41</v>
      </c>
      <c r="C20" t="s">
        <v>62</v>
      </c>
      <c r="D20" t="s">
        <v>105</v>
      </c>
      <c r="E20" t="s">
        <v>86</v>
      </c>
      <c r="F20" t="s">
        <v>65</v>
      </c>
      <c r="G20" t="s">
        <v>66</v>
      </c>
      <c r="H20" t="s">
        <v>66</v>
      </c>
      <c r="I20">
        <v>1</v>
      </c>
      <c r="J20" t="s">
        <v>67</v>
      </c>
      <c r="K20" t="s">
        <v>68</v>
      </c>
      <c r="L20" t="s">
        <v>69</v>
      </c>
      <c r="M20" t="s">
        <v>100</v>
      </c>
      <c r="P20" t="s">
        <v>93</v>
      </c>
      <c r="Q20" t="s">
        <v>70</v>
      </c>
      <c r="R20" t="s">
        <v>71</v>
      </c>
      <c r="S20" t="s">
        <v>95</v>
      </c>
      <c r="T20" t="s">
        <v>112</v>
      </c>
      <c r="V20" t="s">
        <v>96</v>
      </c>
      <c r="W20" t="s">
        <v>76</v>
      </c>
      <c r="X20" t="s">
        <v>77</v>
      </c>
      <c r="Z20" t="s">
        <v>78</v>
      </c>
      <c r="AA20" t="s">
        <v>78</v>
      </c>
      <c r="AB20" t="s">
        <v>78</v>
      </c>
      <c r="AC20" t="s">
        <v>78</v>
      </c>
      <c r="AD20" t="s">
        <v>80</v>
      </c>
      <c r="AE20" t="s">
        <v>80</v>
      </c>
      <c r="AF20" t="s">
        <v>78</v>
      </c>
      <c r="AG20" t="s">
        <v>78</v>
      </c>
      <c r="AH20" t="s">
        <v>78</v>
      </c>
      <c r="AI20" t="s">
        <v>80</v>
      </c>
      <c r="AJ20">
        <v>5</v>
      </c>
      <c r="AK20">
        <v>5</v>
      </c>
      <c r="AL20">
        <v>5</v>
      </c>
      <c r="AM20" t="s">
        <v>82</v>
      </c>
    </row>
    <row r="21" spans="1:44" x14ac:dyDescent="0.35">
      <c r="A21">
        <v>40</v>
      </c>
      <c r="B21" t="str" cm="1">
        <f t="array" ref="B21">_xlfn.IFS(A21&lt;=25,"18-25",A21&lt;=33,"26-33",A21&lt;=41,"34-41",A21&lt;=49,"42-49",A21&gt;49,"50 or above")</f>
        <v>34-41</v>
      </c>
      <c r="C21" t="s">
        <v>62</v>
      </c>
      <c r="D21" t="s">
        <v>116</v>
      </c>
      <c r="E21" t="s">
        <v>86</v>
      </c>
      <c r="F21" t="s">
        <v>65</v>
      </c>
      <c r="G21" t="s">
        <v>66</v>
      </c>
      <c r="H21" t="s">
        <v>66</v>
      </c>
      <c r="I21">
        <v>1</v>
      </c>
      <c r="O21" t="s">
        <v>111</v>
      </c>
      <c r="P21" t="s">
        <v>111</v>
      </c>
      <c r="Q21" t="s">
        <v>117</v>
      </c>
      <c r="R21" t="s">
        <v>71</v>
      </c>
      <c r="S21" t="s">
        <v>72</v>
      </c>
      <c r="T21" t="s">
        <v>73</v>
      </c>
      <c r="U21" t="s">
        <v>74</v>
      </c>
      <c r="W21" t="s">
        <v>76</v>
      </c>
      <c r="Z21" t="s">
        <v>80</v>
      </c>
      <c r="AA21" t="s">
        <v>80</v>
      </c>
      <c r="AB21" t="s">
        <v>80</v>
      </c>
      <c r="AC21" t="s">
        <v>80</v>
      </c>
      <c r="AD21" t="s">
        <v>80</v>
      </c>
      <c r="AE21" t="s">
        <v>80</v>
      </c>
      <c r="AF21" t="s">
        <v>80</v>
      </c>
      <c r="AG21" t="s">
        <v>80</v>
      </c>
      <c r="AH21" t="s">
        <v>80</v>
      </c>
      <c r="AI21" t="s">
        <v>80</v>
      </c>
      <c r="AJ21">
        <v>5</v>
      </c>
      <c r="AK21">
        <v>5</v>
      </c>
      <c r="AL21">
        <v>5</v>
      </c>
      <c r="AM21" t="s">
        <v>104</v>
      </c>
    </row>
    <row r="22" spans="1:44" x14ac:dyDescent="0.35">
      <c r="A22">
        <v>38</v>
      </c>
      <c r="B22" t="str" cm="1">
        <f t="array" ref="B22">_xlfn.IFS(A22&lt;=25,"18-25",A22&lt;=33,"26-33",A22&lt;=41,"34-41",A22&lt;=49,"42-49",A22&gt;49,"50 or above")</f>
        <v>34-41</v>
      </c>
      <c r="C22" t="s">
        <v>62</v>
      </c>
      <c r="D22" t="s">
        <v>105</v>
      </c>
      <c r="E22" t="s">
        <v>109</v>
      </c>
      <c r="F22" t="s">
        <v>102</v>
      </c>
      <c r="G22" t="s">
        <v>66</v>
      </c>
      <c r="H22" t="s">
        <v>66</v>
      </c>
      <c r="I22">
        <v>1</v>
      </c>
      <c r="J22" t="s">
        <v>67</v>
      </c>
      <c r="P22" t="s">
        <v>67</v>
      </c>
      <c r="Q22" t="s">
        <v>70</v>
      </c>
      <c r="R22" t="s">
        <v>110</v>
      </c>
      <c r="S22" t="s">
        <v>72</v>
      </c>
      <c r="T22" t="s">
        <v>73</v>
      </c>
      <c r="U22" t="s">
        <v>74</v>
      </c>
      <c r="Y22" t="s">
        <v>108</v>
      </c>
      <c r="Z22" t="s">
        <v>78</v>
      </c>
      <c r="AA22" t="s">
        <v>78</v>
      </c>
      <c r="AB22" t="s">
        <v>78</v>
      </c>
      <c r="AC22" t="s">
        <v>78</v>
      </c>
      <c r="AD22" t="s">
        <v>78</v>
      </c>
      <c r="AE22" t="s">
        <v>78</v>
      </c>
      <c r="AF22" t="s">
        <v>78</v>
      </c>
      <c r="AG22" t="s">
        <v>78</v>
      </c>
      <c r="AH22" t="s">
        <v>78</v>
      </c>
      <c r="AI22" t="s">
        <v>78</v>
      </c>
      <c r="AJ22">
        <v>3</v>
      </c>
      <c r="AK22">
        <v>3</v>
      </c>
      <c r="AL22">
        <v>3</v>
      </c>
      <c r="AM22" t="s">
        <v>104</v>
      </c>
    </row>
    <row r="23" spans="1:44" x14ac:dyDescent="0.35">
      <c r="A23">
        <v>37</v>
      </c>
      <c r="B23" t="str" cm="1">
        <f t="array" ref="B23">_xlfn.IFS(A23&lt;=25,"18-25",A23&lt;=33,"26-33",A23&lt;=41,"34-41",A23&lt;=49,"42-49",A23&gt;49,"50 or above")</f>
        <v>34-41</v>
      </c>
      <c r="C23" t="s">
        <v>62</v>
      </c>
      <c r="D23" t="s">
        <v>116</v>
      </c>
      <c r="E23" t="s">
        <v>86</v>
      </c>
      <c r="F23" t="s">
        <v>102</v>
      </c>
      <c r="G23" t="s">
        <v>66</v>
      </c>
      <c r="H23" t="s">
        <v>66</v>
      </c>
      <c r="I23">
        <v>1</v>
      </c>
      <c r="J23" t="s">
        <v>67</v>
      </c>
      <c r="K23" t="s">
        <v>68</v>
      </c>
      <c r="L23" t="s">
        <v>69</v>
      </c>
      <c r="P23" t="s">
        <v>67</v>
      </c>
      <c r="Q23" t="s">
        <v>70</v>
      </c>
      <c r="R23" t="s">
        <v>92</v>
      </c>
      <c r="S23" t="s">
        <v>107</v>
      </c>
      <c r="T23" t="s">
        <v>73</v>
      </c>
      <c r="V23" t="s">
        <v>96</v>
      </c>
      <c r="W23" t="s">
        <v>76</v>
      </c>
      <c r="Z23" t="s">
        <v>80</v>
      </c>
      <c r="AA23" t="s">
        <v>80</v>
      </c>
      <c r="AB23" t="s">
        <v>80</v>
      </c>
      <c r="AC23" t="s">
        <v>81</v>
      </c>
      <c r="AD23" t="s">
        <v>80</v>
      </c>
      <c r="AE23" t="s">
        <v>80</v>
      </c>
      <c r="AF23" t="s">
        <v>80</v>
      </c>
      <c r="AG23" t="s">
        <v>81</v>
      </c>
      <c r="AH23" t="s">
        <v>80</v>
      </c>
      <c r="AI23" t="s">
        <v>81</v>
      </c>
      <c r="AJ23">
        <v>3</v>
      </c>
      <c r="AK23">
        <v>3</v>
      </c>
      <c r="AL23">
        <v>3</v>
      </c>
      <c r="AM23" t="s">
        <v>104</v>
      </c>
    </row>
    <row r="24" spans="1:44" x14ac:dyDescent="0.35">
      <c r="A24">
        <v>22</v>
      </c>
      <c r="B24" t="str" cm="1">
        <f t="array" ref="B24">_xlfn.IFS(A24&lt;=25,"18-25",A24&lt;=33,"26-33",A24&lt;=41,"34-41",A24&lt;=49,"42-49",A24&gt;49,"50 or above")</f>
        <v>18-25</v>
      </c>
      <c r="C24" t="s">
        <v>89</v>
      </c>
      <c r="D24" t="s">
        <v>105</v>
      </c>
      <c r="E24" t="s">
        <v>64</v>
      </c>
      <c r="F24" t="s">
        <v>87</v>
      </c>
      <c r="G24" t="s">
        <v>66</v>
      </c>
      <c r="H24" t="s">
        <v>66</v>
      </c>
      <c r="I24">
        <v>1</v>
      </c>
      <c r="J24" t="s">
        <v>67</v>
      </c>
      <c r="K24" t="s">
        <v>68</v>
      </c>
      <c r="L24" t="s">
        <v>69</v>
      </c>
      <c r="P24" t="s">
        <v>67</v>
      </c>
      <c r="Q24" t="s">
        <v>70</v>
      </c>
      <c r="R24" t="s">
        <v>92</v>
      </c>
      <c r="S24" t="s">
        <v>113</v>
      </c>
      <c r="T24" t="s">
        <v>73</v>
      </c>
      <c r="U24" t="s">
        <v>74</v>
      </c>
      <c r="Z24" t="s">
        <v>80</v>
      </c>
      <c r="AA24" t="s">
        <v>80</v>
      </c>
      <c r="AB24" t="s">
        <v>80</v>
      </c>
      <c r="AC24" t="s">
        <v>80</v>
      </c>
      <c r="AD24" t="s">
        <v>81</v>
      </c>
      <c r="AE24" t="s">
        <v>80</v>
      </c>
      <c r="AF24" t="s">
        <v>78</v>
      </c>
      <c r="AG24" t="s">
        <v>80</v>
      </c>
      <c r="AH24" t="s">
        <v>80</v>
      </c>
      <c r="AI24" t="s">
        <v>81</v>
      </c>
      <c r="AJ24">
        <v>4</v>
      </c>
      <c r="AK24">
        <v>4</v>
      </c>
      <c r="AL24">
        <v>4</v>
      </c>
      <c r="AM24" t="s">
        <v>104</v>
      </c>
    </row>
    <row r="25" spans="1:44" x14ac:dyDescent="0.35">
      <c r="A25">
        <v>19</v>
      </c>
      <c r="B25" t="str" cm="1">
        <f t="array" ref="B25">_xlfn.IFS(A25&lt;=25,"18-25",A25&lt;=33,"26-33",A25&lt;=41,"34-41",A25&lt;=49,"42-49",A25&gt;49,"50 or above")</f>
        <v>18-25</v>
      </c>
      <c r="C25" t="s">
        <v>62</v>
      </c>
      <c r="D25" t="s">
        <v>63</v>
      </c>
      <c r="E25" t="s">
        <v>64</v>
      </c>
      <c r="F25" t="s">
        <v>87</v>
      </c>
      <c r="G25" t="s">
        <v>66</v>
      </c>
      <c r="H25" t="s">
        <v>66</v>
      </c>
      <c r="I25">
        <v>1</v>
      </c>
      <c r="J25" t="s">
        <v>67</v>
      </c>
      <c r="K25" t="s">
        <v>68</v>
      </c>
      <c r="L25" t="s">
        <v>69</v>
      </c>
      <c r="P25" t="s">
        <v>67</v>
      </c>
      <c r="Q25" t="s">
        <v>103</v>
      </c>
      <c r="R25" t="s">
        <v>94</v>
      </c>
      <c r="S25" t="s">
        <v>72</v>
      </c>
      <c r="T25" t="s">
        <v>73</v>
      </c>
      <c r="U25" t="s">
        <v>74</v>
      </c>
      <c r="V25" t="s">
        <v>75</v>
      </c>
      <c r="Z25" t="s">
        <v>80</v>
      </c>
      <c r="AA25" t="s">
        <v>80</v>
      </c>
      <c r="AB25" t="s">
        <v>81</v>
      </c>
      <c r="AC25" t="s">
        <v>80</v>
      </c>
      <c r="AD25" t="s">
        <v>81</v>
      </c>
      <c r="AE25" t="s">
        <v>80</v>
      </c>
      <c r="AF25" t="s">
        <v>80</v>
      </c>
      <c r="AG25" t="s">
        <v>81</v>
      </c>
      <c r="AH25" t="s">
        <v>80</v>
      </c>
      <c r="AI25" t="s">
        <v>81</v>
      </c>
      <c r="AJ25">
        <v>3</v>
      </c>
      <c r="AK25">
        <v>3</v>
      </c>
      <c r="AL25">
        <v>4</v>
      </c>
      <c r="AM25" t="s">
        <v>115</v>
      </c>
      <c r="AQ25" t="s">
        <v>118</v>
      </c>
    </row>
    <row r="26" spans="1:44" x14ac:dyDescent="0.35">
      <c r="A26">
        <v>40</v>
      </c>
      <c r="B26" t="str" cm="1">
        <f t="array" ref="B26">_xlfn.IFS(A26&lt;=25,"18-25",A26&lt;=33,"26-33",A26&lt;=41,"34-41",A26&lt;=49,"42-49",A26&gt;49,"50 or above")</f>
        <v>34-41</v>
      </c>
      <c r="C26" t="s">
        <v>89</v>
      </c>
      <c r="D26" t="s">
        <v>120</v>
      </c>
      <c r="E26" t="s">
        <v>121</v>
      </c>
      <c r="F26" t="s">
        <v>90</v>
      </c>
      <c r="G26" t="s">
        <v>66</v>
      </c>
      <c r="H26" t="s">
        <v>66</v>
      </c>
      <c r="I26">
        <v>1</v>
      </c>
      <c r="J26" t="s">
        <v>67</v>
      </c>
      <c r="P26" t="s">
        <v>67</v>
      </c>
      <c r="Q26" t="s">
        <v>70</v>
      </c>
      <c r="R26" t="s">
        <v>92</v>
      </c>
      <c r="S26" t="s">
        <v>107</v>
      </c>
      <c r="T26" t="s">
        <v>99</v>
      </c>
      <c r="U26" t="s">
        <v>74</v>
      </c>
      <c r="Z26" t="s">
        <v>80</v>
      </c>
      <c r="AA26" t="s">
        <v>80</v>
      </c>
      <c r="AB26" t="s">
        <v>81</v>
      </c>
      <c r="AC26" t="s">
        <v>79</v>
      </c>
      <c r="AD26" t="s">
        <v>79</v>
      </c>
      <c r="AE26" t="s">
        <v>79</v>
      </c>
      <c r="AF26" t="s">
        <v>80</v>
      </c>
      <c r="AG26" t="s">
        <v>81</v>
      </c>
      <c r="AH26" t="s">
        <v>81</v>
      </c>
      <c r="AI26" t="s">
        <v>79</v>
      </c>
      <c r="AJ26">
        <v>3</v>
      </c>
      <c r="AK26">
        <v>3</v>
      </c>
      <c r="AL26">
        <v>2</v>
      </c>
      <c r="AM26" t="s">
        <v>104</v>
      </c>
    </row>
    <row r="27" spans="1:44" x14ac:dyDescent="0.35">
      <c r="A27">
        <v>22</v>
      </c>
      <c r="B27" t="str" cm="1">
        <f t="array" ref="B27">_xlfn.IFS(A27&lt;=25,"18-25",A27&lt;=33,"26-33",A27&lt;=41,"34-41",A27&lt;=49,"42-49",A27&gt;49,"50 or above")</f>
        <v>18-25</v>
      </c>
      <c r="C27" t="s">
        <v>89</v>
      </c>
      <c r="D27" t="s">
        <v>105</v>
      </c>
      <c r="E27" t="s">
        <v>64</v>
      </c>
      <c r="F27" t="s">
        <v>65</v>
      </c>
      <c r="G27" t="s">
        <v>66</v>
      </c>
      <c r="H27" t="s">
        <v>66</v>
      </c>
      <c r="I27">
        <v>1</v>
      </c>
      <c r="J27" t="s">
        <v>67</v>
      </c>
      <c r="K27" t="s">
        <v>68</v>
      </c>
      <c r="L27" t="s">
        <v>69</v>
      </c>
      <c r="M27" t="s">
        <v>122</v>
      </c>
      <c r="O27" t="s">
        <v>123</v>
      </c>
      <c r="P27" t="s">
        <v>67</v>
      </c>
      <c r="Q27" t="s">
        <v>70</v>
      </c>
      <c r="R27" t="s">
        <v>92</v>
      </c>
      <c r="S27" t="s">
        <v>72</v>
      </c>
      <c r="T27" t="s">
        <v>73</v>
      </c>
      <c r="U27" t="s">
        <v>74</v>
      </c>
      <c r="V27" t="s">
        <v>75</v>
      </c>
      <c r="W27" t="s">
        <v>76</v>
      </c>
      <c r="X27" t="s">
        <v>77</v>
      </c>
      <c r="Z27" t="s">
        <v>78</v>
      </c>
      <c r="AA27" t="s">
        <v>80</v>
      </c>
      <c r="AB27" t="s">
        <v>80</v>
      </c>
      <c r="AC27" t="s">
        <v>80</v>
      </c>
      <c r="AD27" t="s">
        <v>81</v>
      </c>
      <c r="AE27" t="s">
        <v>78</v>
      </c>
      <c r="AF27" t="s">
        <v>78</v>
      </c>
      <c r="AG27" t="s">
        <v>80</v>
      </c>
      <c r="AH27" t="s">
        <v>78</v>
      </c>
      <c r="AI27" t="s">
        <v>78</v>
      </c>
      <c r="AJ27">
        <v>5</v>
      </c>
      <c r="AK27">
        <v>5</v>
      </c>
      <c r="AL27">
        <v>5</v>
      </c>
      <c r="AM27" t="s">
        <v>82</v>
      </c>
      <c r="AO27" t="s">
        <v>84</v>
      </c>
      <c r="AQ27" t="s">
        <v>118</v>
      </c>
      <c r="AR27" t="s">
        <v>124</v>
      </c>
    </row>
    <row r="28" spans="1:44" x14ac:dyDescent="0.35">
      <c r="A28">
        <v>20</v>
      </c>
      <c r="B28" t="str" cm="1">
        <f t="array" ref="B28">_xlfn.IFS(A28&lt;=25,"18-25",A28&lt;=33,"26-33",A28&lt;=41,"34-41",A28&lt;=49,"42-49",A28&gt;49,"50 or above")</f>
        <v>18-25</v>
      </c>
      <c r="C28" t="s">
        <v>89</v>
      </c>
      <c r="D28" t="s">
        <v>63</v>
      </c>
      <c r="E28" t="s">
        <v>64</v>
      </c>
      <c r="F28" t="s">
        <v>90</v>
      </c>
      <c r="G28" t="s">
        <v>66</v>
      </c>
      <c r="H28" t="s">
        <v>66</v>
      </c>
      <c r="I28">
        <v>1</v>
      </c>
      <c r="J28" t="s">
        <v>67</v>
      </c>
      <c r="K28" t="s">
        <v>68</v>
      </c>
      <c r="L28" t="s">
        <v>69</v>
      </c>
      <c r="P28" t="s">
        <v>67</v>
      </c>
      <c r="Q28" t="s">
        <v>117</v>
      </c>
      <c r="R28" t="s">
        <v>94</v>
      </c>
      <c r="S28" t="s">
        <v>72</v>
      </c>
      <c r="T28" t="s">
        <v>99</v>
      </c>
      <c r="U28" t="s">
        <v>74</v>
      </c>
      <c r="V28" t="s">
        <v>75</v>
      </c>
      <c r="Z28" t="s">
        <v>80</v>
      </c>
      <c r="AA28" t="s">
        <v>80</v>
      </c>
      <c r="AB28" t="s">
        <v>79</v>
      </c>
      <c r="AC28" t="s">
        <v>81</v>
      </c>
      <c r="AD28" t="s">
        <v>81</v>
      </c>
      <c r="AE28" t="s">
        <v>80</v>
      </c>
      <c r="AF28" t="s">
        <v>79</v>
      </c>
      <c r="AG28" t="s">
        <v>80</v>
      </c>
      <c r="AH28" t="s">
        <v>81</v>
      </c>
      <c r="AI28" t="s">
        <v>81</v>
      </c>
      <c r="AJ28">
        <v>3</v>
      </c>
      <c r="AK28">
        <v>1</v>
      </c>
      <c r="AL28">
        <v>2</v>
      </c>
      <c r="AM28" t="s">
        <v>115</v>
      </c>
    </row>
    <row r="29" spans="1:44" x14ac:dyDescent="0.35">
      <c r="A29">
        <v>20</v>
      </c>
      <c r="B29" t="str" cm="1">
        <f t="array" ref="B29">_xlfn.IFS(A29&lt;=25,"18-25",A29&lt;=33,"26-33",A29&lt;=41,"34-41",A29&lt;=49,"42-49",A29&gt;49,"50 or above")</f>
        <v>18-25</v>
      </c>
      <c r="C29" t="s">
        <v>62</v>
      </c>
      <c r="D29" t="s">
        <v>63</v>
      </c>
      <c r="E29" t="s">
        <v>64</v>
      </c>
      <c r="F29" t="s">
        <v>87</v>
      </c>
      <c r="G29" t="s">
        <v>66</v>
      </c>
      <c r="H29" t="s">
        <v>66</v>
      </c>
      <c r="I29">
        <v>1</v>
      </c>
      <c r="J29" t="s">
        <v>67</v>
      </c>
      <c r="K29" t="s">
        <v>68</v>
      </c>
      <c r="L29" t="s">
        <v>69</v>
      </c>
      <c r="P29" t="s">
        <v>67</v>
      </c>
      <c r="Q29" t="s">
        <v>117</v>
      </c>
      <c r="R29" t="s">
        <v>92</v>
      </c>
      <c r="S29" t="s">
        <v>113</v>
      </c>
      <c r="T29" t="s">
        <v>73</v>
      </c>
      <c r="U29" t="s">
        <v>74</v>
      </c>
      <c r="V29" t="s">
        <v>75</v>
      </c>
      <c r="Z29" t="s">
        <v>78</v>
      </c>
      <c r="AA29" t="s">
        <v>78</v>
      </c>
      <c r="AB29" t="s">
        <v>80</v>
      </c>
      <c r="AC29" t="s">
        <v>78</v>
      </c>
      <c r="AD29" t="s">
        <v>81</v>
      </c>
      <c r="AE29" t="s">
        <v>80</v>
      </c>
      <c r="AF29" t="s">
        <v>78</v>
      </c>
      <c r="AG29" t="s">
        <v>81</v>
      </c>
      <c r="AH29" t="s">
        <v>80</v>
      </c>
      <c r="AI29" t="s">
        <v>81</v>
      </c>
      <c r="AJ29">
        <v>5</v>
      </c>
      <c r="AK29">
        <v>4</v>
      </c>
      <c r="AL29">
        <v>4</v>
      </c>
      <c r="AM29" t="s">
        <v>104</v>
      </c>
      <c r="AO29" t="s">
        <v>126</v>
      </c>
    </row>
    <row r="30" spans="1:44" x14ac:dyDescent="0.35">
      <c r="A30">
        <v>25</v>
      </c>
      <c r="B30" t="str" cm="1">
        <f t="array" ref="B30">_xlfn.IFS(A30&lt;=25,"18-25",A30&lt;=33,"26-33",A30&lt;=41,"34-41",A30&lt;=49,"42-49",A30&gt;49,"50 or above")</f>
        <v>18-25</v>
      </c>
      <c r="C30" t="s">
        <v>62</v>
      </c>
      <c r="D30" t="s">
        <v>116</v>
      </c>
      <c r="E30" t="s">
        <v>109</v>
      </c>
      <c r="F30" t="s">
        <v>102</v>
      </c>
      <c r="G30" t="s">
        <v>66</v>
      </c>
      <c r="H30" t="s">
        <v>66</v>
      </c>
      <c r="I30">
        <v>1</v>
      </c>
      <c r="J30" t="s">
        <v>67</v>
      </c>
      <c r="K30" t="s">
        <v>68</v>
      </c>
      <c r="L30" t="s">
        <v>69</v>
      </c>
      <c r="P30" t="s">
        <v>67</v>
      </c>
      <c r="Q30" t="s">
        <v>70</v>
      </c>
      <c r="R30" t="s">
        <v>92</v>
      </c>
      <c r="S30" t="s">
        <v>72</v>
      </c>
      <c r="T30" t="s">
        <v>73</v>
      </c>
      <c r="U30" t="s">
        <v>74</v>
      </c>
      <c r="V30" t="s">
        <v>75</v>
      </c>
      <c r="W30" t="s">
        <v>76</v>
      </c>
      <c r="X30" t="s">
        <v>77</v>
      </c>
      <c r="Z30" t="s">
        <v>80</v>
      </c>
      <c r="AA30" t="s">
        <v>80</v>
      </c>
      <c r="AB30" t="s">
        <v>78</v>
      </c>
      <c r="AC30" t="s">
        <v>78</v>
      </c>
      <c r="AD30" t="s">
        <v>81</v>
      </c>
      <c r="AE30" t="s">
        <v>78</v>
      </c>
      <c r="AF30" t="s">
        <v>78</v>
      </c>
      <c r="AG30" t="s">
        <v>80</v>
      </c>
      <c r="AH30" t="s">
        <v>78</v>
      </c>
      <c r="AI30" t="s">
        <v>80</v>
      </c>
      <c r="AJ30">
        <v>5</v>
      </c>
      <c r="AK30">
        <v>5</v>
      </c>
      <c r="AL30">
        <v>5</v>
      </c>
      <c r="AM30" t="s">
        <v>82</v>
      </c>
    </row>
    <row r="31" spans="1:44" x14ac:dyDescent="0.35">
      <c r="A31">
        <v>29</v>
      </c>
      <c r="B31" t="str" cm="1">
        <f t="array" ref="B31">_xlfn.IFS(A31&lt;=25,"18-25",A31&lt;=33,"26-33",A31&lt;=41,"34-41",A31&lt;=49,"42-49",A31&gt;49,"50 or above")</f>
        <v>26-33</v>
      </c>
      <c r="C31" t="s">
        <v>62</v>
      </c>
      <c r="D31" t="s">
        <v>105</v>
      </c>
      <c r="E31" t="s">
        <v>86</v>
      </c>
      <c r="F31" t="s">
        <v>90</v>
      </c>
      <c r="G31" t="s">
        <v>66</v>
      </c>
      <c r="H31" t="s">
        <v>66</v>
      </c>
      <c r="I31">
        <v>1</v>
      </c>
      <c r="J31" t="s">
        <v>67</v>
      </c>
      <c r="L31" t="s">
        <v>69</v>
      </c>
      <c r="P31" t="s">
        <v>91</v>
      </c>
      <c r="Q31" t="s">
        <v>70</v>
      </c>
      <c r="R31" t="s">
        <v>92</v>
      </c>
      <c r="S31" t="s">
        <v>107</v>
      </c>
      <c r="T31" t="s">
        <v>73</v>
      </c>
      <c r="U31" t="s">
        <v>74</v>
      </c>
      <c r="V31" t="s">
        <v>75</v>
      </c>
      <c r="W31" t="s">
        <v>76</v>
      </c>
      <c r="X31" t="s">
        <v>77</v>
      </c>
      <c r="Z31" t="s">
        <v>78</v>
      </c>
      <c r="AA31" t="s">
        <v>78</v>
      </c>
      <c r="AB31" t="s">
        <v>81</v>
      </c>
      <c r="AC31" t="s">
        <v>81</v>
      </c>
      <c r="AD31" t="s">
        <v>79</v>
      </c>
      <c r="AE31" t="s">
        <v>80</v>
      </c>
      <c r="AF31" t="s">
        <v>78</v>
      </c>
      <c r="AG31" t="s">
        <v>80</v>
      </c>
      <c r="AH31" t="s">
        <v>81</v>
      </c>
      <c r="AI31" t="s">
        <v>80</v>
      </c>
      <c r="AJ31">
        <v>3</v>
      </c>
      <c r="AK31">
        <v>3</v>
      </c>
      <c r="AL31">
        <v>3</v>
      </c>
      <c r="AM31" t="s">
        <v>82</v>
      </c>
    </row>
    <row r="32" spans="1:44" x14ac:dyDescent="0.35">
      <c r="A32">
        <v>29</v>
      </c>
      <c r="B32" t="str" cm="1">
        <f t="array" ref="B32">_xlfn.IFS(A32&lt;=25,"18-25",A32&lt;=33,"26-33",A32&lt;=41,"34-41",A32&lt;=49,"42-49",A32&gt;49,"50 or above")</f>
        <v>26-33</v>
      </c>
      <c r="C32" t="s">
        <v>62</v>
      </c>
      <c r="D32" t="s">
        <v>105</v>
      </c>
      <c r="E32" t="s">
        <v>86</v>
      </c>
      <c r="F32" t="s">
        <v>90</v>
      </c>
      <c r="G32" t="s">
        <v>66</v>
      </c>
      <c r="H32" t="s">
        <v>66</v>
      </c>
      <c r="I32">
        <v>1</v>
      </c>
      <c r="J32" t="s">
        <v>67</v>
      </c>
      <c r="K32" t="s">
        <v>68</v>
      </c>
      <c r="L32" t="s">
        <v>69</v>
      </c>
      <c r="P32" t="s">
        <v>67</v>
      </c>
      <c r="Q32" t="s">
        <v>98</v>
      </c>
      <c r="R32" t="s">
        <v>92</v>
      </c>
      <c r="S32" t="s">
        <v>72</v>
      </c>
      <c r="T32" t="s">
        <v>73</v>
      </c>
      <c r="U32" t="s">
        <v>74</v>
      </c>
      <c r="V32" t="s">
        <v>75</v>
      </c>
      <c r="W32" t="s">
        <v>76</v>
      </c>
      <c r="X32" t="s">
        <v>77</v>
      </c>
      <c r="Z32" t="s">
        <v>78</v>
      </c>
      <c r="AA32" t="s">
        <v>78</v>
      </c>
      <c r="AB32" t="s">
        <v>81</v>
      </c>
      <c r="AC32" t="s">
        <v>80</v>
      </c>
      <c r="AD32" t="s">
        <v>80</v>
      </c>
      <c r="AE32" t="s">
        <v>80</v>
      </c>
      <c r="AF32" t="s">
        <v>78</v>
      </c>
      <c r="AG32" t="s">
        <v>81</v>
      </c>
      <c r="AH32" t="s">
        <v>81</v>
      </c>
      <c r="AI32" t="s">
        <v>78</v>
      </c>
      <c r="AJ32">
        <v>4</v>
      </c>
      <c r="AK32">
        <v>5</v>
      </c>
      <c r="AL32">
        <v>4</v>
      </c>
      <c r="AM32" t="s">
        <v>82</v>
      </c>
    </row>
    <row r="33" spans="1:43" x14ac:dyDescent="0.35">
      <c r="A33">
        <v>30</v>
      </c>
      <c r="B33" t="str" cm="1">
        <f t="array" ref="B33">_xlfn.IFS(A33&lt;=25,"18-25",A33&lt;=33,"26-33",A33&lt;=41,"34-41",A33&lt;=49,"42-49",A33&gt;49,"50 or above")</f>
        <v>26-33</v>
      </c>
      <c r="C33" t="s">
        <v>89</v>
      </c>
      <c r="D33" t="s">
        <v>116</v>
      </c>
      <c r="E33" t="s">
        <v>86</v>
      </c>
      <c r="F33" t="s">
        <v>87</v>
      </c>
      <c r="G33" t="s">
        <v>66</v>
      </c>
      <c r="H33" t="s">
        <v>66</v>
      </c>
      <c r="I33">
        <v>1</v>
      </c>
      <c r="J33" t="s">
        <v>67</v>
      </c>
      <c r="K33" t="s">
        <v>68</v>
      </c>
      <c r="L33" t="s">
        <v>69</v>
      </c>
      <c r="P33" t="s">
        <v>91</v>
      </c>
      <c r="Q33" t="s">
        <v>70</v>
      </c>
      <c r="R33" t="s">
        <v>92</v>
      </c>
      <c r="S33" t="s">
        <v>72</v>
      </c>
      <c r="T33" t="s">
        <v>73</v>
      </c>
      <c r="V33" t="s">
        <v>96</v>
      </c>
      <c r="Z33" t="s">
        <v>81</v>
      </c>
      <c r="AA33" t="s">
        <v>80</v>
      </c>
      <c r="AB33" t="s">
        <v>80</v>
      </c>
      <c r="AC33" t="s">
        <v>80</v>
      </c>
      <c r="AD33" t="s">
        <v>81</v>
      </c>
      <c r="AE33" t="s">
        <v>81</v>
      </c>
      <c r="AF33" t="s">
        <v>80</v>
      </c>
      <c r="AG33" t="s">
        <v>80</v>
      </c>
      <c r="AH33" t="s">
        <v>80</v>
      </c>
      <c r="AI33" t="s">
        <v>79</v>
      </c>
      <c r="AJ33">
        <v>4</v>
      </c>
      <c r="AK33">
        <v>3</v>
      </c>
      <c r="AL33">
        <v>4</v>
      </c>
      <c r="AM33" t="s">
        <v>115</v>
      </c>
    </row>
    <row r="34" spans="1:43" x14ac:dyDescent="0.35">
      <c r="A34">
        <v>27</v>
      </c>
      <c r="B34" t="str" cm="1">
        <f t="array" ref="B34">_xlfn.IFS(A34&lt;=25,"18-25",A34&lt;=33,"26-33",A34&lt;=41,"34-41",A34&lt;=49,"42-49",A34&gt;49,"50 or above")</f>
        <v>26-33</v>
      </c>
      <c r="C34" t="s">
        <v>89</v>
      </c>
      <c r="D34" t="s">
        <v>105</v>
      </c>
      <c r="E34" t="s">
        <v>86</v>
      </c>
      <c r="F34" t="s">
        <v>87</v>
      </c>
      <c r="G34" t="s">
        <v>66</v>
      </c>
      <c r="H34" t="s">
        <v>66</v>
      </c>
      <c r="I34">
        <v>1</v>
      </c>
      <c r="J34" t="s">
        <v>67</v>
      </c>
      <c r="K34" t="s">
        <v>68</v>
      </c>
      <c r="L34" t="s">
        <v>69</v>
      </c>
      <c r="P34" t="s">
        <v>67</v>
      </c>
      <c r="Q34" t="s">
        <v>117</v>
      </c>
      <c r="R34" t="s">
        <v>92</v>
      </c>
      <c r="S34" t="s">
        <v>107</v>
      </c>
      <c r="T34" t="s">
        <v>73</v>
      </c>
      <c r="U34" t="s">
        <v>74</v>
      </c>
      <c r="V34" t="s">
        <v>75</v>
      </c>
      <c r="W34" t="s">
        <v>76</v>
      </c>
      <c r="Z34" t="s">
        <v>80</v>
      </c>
      <c r="AA34" t="s">
        <v>78</v>
      </c>
      <c r="AB34" t="s">
        <v>80</v>
      </c>
      <c r="AC34" t="s">
        <v>79</v>
      </c>
      <c r="AD34" t="s">
        <v>80</v>
      </c>
      <c r="AE34" t="s">
        <v>78</v>
      </c>
      <c r="AF34" t="s">
        <v>78</v>
      </c>
      <c r="AG34" t="s">
        <v>80</v>
      </c>
      <c r="AH34" t="s">
        <v>78</v>
      </c>
      <c r="AI34" t="s">
        <v>80</v>
      </c>
      <c r="AJ34">
        <v>4</v>
      </c>
      <c r="AK34">
        <v>4</v>
      </c>
      <c r="AL34">
        <v>4</v>
      </c>
      <c r="AM34" t="s">
        <v>82</v>
      </c>
    </row>
    <row r="35" spans="1:43" x14ac:dyDescent="0.35">
      <c r="A35">
        <v>23</v>
      </c>
      <c r="B35" t="str" cm="1">
        <f t="array" ref="B35">_xlfn.IFS(A35&lt;=25,"18-25",A35&lt;=33,"26-33",A35&lt;=41,"34-41",A35&lt;=49,"42-49",A35&gt;49,"50 or above")</f>
        <v>18-25</v>
      </c>
      <c r="C35" t="s">
        <v>89</v>
      </c>
      <c r="D35" t="s">
        <v>105</v>
      </c>
      <c r="E35" t="s">
        <v>64</v>
      </c>
      <c r="F35" t="s">
        <v>65</v>
      </c>
      <c r="G35" t="s">
        <v>66</v>
      </c>
      <c r="H35" t="s">
        <v>66</v>
      </c>
      <c r="I35">
        <v>1</v>
      </c>
      <c r="L35" t="s">
        <v>91</v>
      </c>
      <c r="P35" t="s">
        <v>111</v>
      </c>
      <c r="Q35" t="s">
        <v>98</v>
      </c>
      <c r="R35" t="s">
        <v>92</v>
      </c>
      <c r="S35" t="s">
        <v>72</v>
      </c>
      <c r="T35" t="s">
        <v>99</v>
      </c>
      <c r="V35" t="s">
        <v>96</v>
      </c>
      <c r="Z35" t="s">
        <v>81</v>
      </c>
      <c r="AA35" t="s">
        <v>80</v>
      </c>
      <c r="AB35" t="s">
        <v>80</v>
      </c>
      <c r="AC35" t="s">
        <v>80</v>
      </c>
      <c r="AD35" t="s">
        <v>81</v>
      </c>
      <c r="AE35" t="s">
        <v>80</v>
      </c>
      <c r="AF35" t="s">
        <v>80</v>
      </c>
      <c r="AG35" t="s">
        <v>80</v>
      </c>
      <c r="AH35" t="s">
        <v>80</v>
      </c>
      <c r="AI35" t="s">
        <v>81</v>
      </c>
      <c r="AJ35">
        <v>3</v>
      </c>
      <c r="AK35">
        <v>3</v>
      </c>
      <c r="AL35">
        <v>3</v>
      </c>
      <c r="AM35" t="s">
        <v>115</v>
      </c>
    </row>
    <row r="36" spans="1:43" x14ac:dyDescent="0.35">
      <c r="A36">
        <v>22</v>
      </c>
      <c r="B36" t="str" cm="1">
        <f t="array" ref="B36">_xlfn.IFS(A36&lt;=25,"18-25",A36&lt;=33,"26-33",A36&lt;=41,"34-41",A36&lt;=49,"42-49",A36&gt;49,"50 or above")</f>
        <v>18-25</v>
      </c>
      <c r="C36" t="s">
        <v>89</v>
      </c>
      <c r="D36" t="s">
        <v>105</v>
      </c>
      <c r="E36" t="s">
        <v>64</v>
      </c>
      <c r="F36" t="s">
        <v>127</v>
      </c>
      <c r="G36" t="s">
        <v>66</v>
      </c>
      <c r="H36" t="s">
        <v>66</v>
      </c>
      <c r="I36">
        <v>1</v>
      </c>
      <c r="J36" t="s">
        <v>67</v>
      </c>
      <c r="L36" t="s">
        <v>69</v>
      </c>
      <c r="P36" t="s">
        <v>91</v>
      </c>
      <c r="Q36" t="s">
        <v>117</v>
      </c>
      <c r="R36" t="s">
        <v>92</v>
      </c>
      <c r="S36" t="s">
        <v>113</v>
      </c>
      <c r="T36" t="s">
        <v>99</v>
      </c>
      <c r="V36" t="s">
        <v>96</v>
      </c>
      <c r="Y36" t="s">
        <v>108</v>
      </c>
      <c r="Z36" t="s">
        <v>78</v>
      </c>
      <c r="AA36" t="s">
        <v>80</v>
      </c>
      <c r="AB36" t="s">
        <v>78</v>
      </c>
      <c r="AC36" t="s">
        <v>81</v>
      </c>
      <c r="AD36" t="s">
        <v>79</v>
      </c>
      <c r="AE36" t="s">
        <v>101</v>
      </c>
      <c r="AF36" t="s">
        <v>101</v>
      </c>
      <c r="AG36" t="s">
        <v>78</v>
      </c>
      <c r="AH36" t="s">
        <v>80</v>
      </c>
      <c r="AI36" t="s">
        <v>78</v>
      </c>
      <c r="AJ36">
        <v>2</v>
      </c>
      <c r="AK36">
        <v>1</v>
      </c>
      <c r="AL36">
        <v>2</v>
      </c>
      <c r="AM36" t="s">
        <v>128</v>
      </c>
      <c r="AQ36" t="s">
        <v>118</v>
      </c>
    </row>
    <row r="37" spans="1:43" x14ac:dyDescent="0.35">
      <c r="A37">
        <v>32</v>
      </c>
      <c r="B37" t="str" cm="1">
        <f t="array" ref="B37">_xlfn.IFS(A37&lt;=25,"18-25",A37&lt;=33,"26-33",A37&lt;=41,"34-41",A37&lt;=49,"42-49",A37&gt;49,"50 or above")</f>
        <v>26-33</v>
      </c>
      <c r="C37" t="s">
        <v>129</v>
      </c>
      <c r="D37" t="s">
        <v>116</v>
      </c>
      <c r="E37" t="s">
        <v>109</v>
      </c>
      <c r="F37" t="s">
        <v>65</v>
      </c>
      <c r="G37" t="s">
        <v>66</v>
      </c>
      <c r="H37" t="s">
        <v>66</v>
      </c>
      <c r="I37">
        <v>1</v>
      </c>
      <c r="K37" t="s">
        <v>93</v>
      </c>
      <c r="P37" t="s">
        <v>93</v>
      </c>
      <c r="Q37" t="s">
        <v>98</v>
      </c>
      <c r="R37" t="s">
        <v>71</v>
      </c>
      <c r="S37" t="s">
        <v>130</v>
      </c>
      <c r="T37" t="s">
        <v>112</v>
      </c>
      <c r="X37" t="s">
        <v>131</v>
      </c>
      <c r="Z37" t="s">
        <v>80</v>
      </c>
      <c r="AA37" t="s">
        <v>81</v>
      </c>
      <c r="AB37" t="s">
        <v>80</v>
      </c>
      <c r="AC37" t="s">
        <v>78</v>
      </c>
      <c r="AD37" t="s">
        <v>81</v>
      </c>
      <c r="AE37" t="s">
        <v>78</v>
      </c>
      <c r="AF37" t="s">
        <v>81</v>
      </c>
      <c r="AG37" t="s">
        <v>81</v>
      </c>
      <c r="AH37" t="s">
        <v>78</v>
      </c>
      <c r="AI37" t="s">
        <v>80</v>
      </c>
      <c r="AJ37">
        <v>3</v>
      </c>
      <c r="AK37">
        <v>2</v>
      </c>
      <c r="AL37">
        <v>4</v>
      </c>
      <c r="AM37" t="s">
        <v>128</v>
      </c>
    </row>
    <row r="38" spans="1:43" x14ac:dyDescent="0.35">
      <c r="A38">
        <v>22</v>
      </c>
      <c r="B38" t="str" cm="1">
        <f t="array" ref="B38">_xlfn.IFS(A38&lt;=25,"18-25",A38&lt;=33,"26-33",A38&lt;=41,"34-41",A38&lt;=49,"42-49",A38&gt;49,"50 or above")</f>
        <v>18-25</v>
      </c>
      <c r="C38" t="s">
        <v>89</v>
      </c>
      <c r="D38" t="s">
        <v>116</v>
      </c>
      <c r="E38" t="s">
        <v>86</v>
      </c>
      <c r="F38" t="s">
        <v>87</v>
      </c>
      <c r="G38" t="s">
        <v>66</v>
      </c>
      <c r="H38" t="s">
        <v>66</v>
      </c>
      <c r="I38">
        <v>1</v>
      </c>
      <c r="J38" t="s">
        <v>67</v>
      </c>
      <c r="P38" t="s">
        <v>67</v>
      </c>
      <c r="Q38" t="s">
        <v>70</v>
      </c>
      <c r="R38" t="s">
        <v>94</v>
      </c>
      <c r="S38" t="s">
        <v>113</v>
      </c>
      <c r="T38" t="s">
        <v>99</v>
      </c>
      <c r="V38" t="s">
        <v>96</v>
      </c>
      <c r="Z38" t="s">
        <v>80</v>
      </c>
      <c r="AA38" t="s">
        <v>81</v>
      </c>
      <c r="AB38" t="s">
        <v>79</v>
      </c>
      <c r="AC38" t="s">
        <v>81</v>
      </c>
      <c r="AD38" t="s">
        <v>81</v>
      </c>
      <c r="AE38" t="s">
        <v>81</v>
      </c>
      <c r="AF38" t="s">
        <v>80</v>
      </c>
      <c r="AG38" t="s">
        <v>80</v>
      </c>
      <c r="AH38" t="s">
        <v>80</v>
      </c>
      <c r="AI38" t="s">
        <v>80</v>
      </c>
      <c r="AJ38">
        <v>4</v>
      </c>
      <c r="AK38">
        <v>4</v>
      </c>
      <c r="AL38">
        <v>5</v>
      </c>
      <c r="AM38" t="s">
        <v>82</v>
      </c>
    </row>
    <row r="39" spans="1:43" x14ac:dyDescent="0.35">
      <c r="A39">
        <v>23</v>
      </c>
      <c r="B39" t="str" cm="1">
        <f t="array" ref="B39">_xlfn.IFS(A39&lt;=25,"18-25",A39&lt;=33,"26-33",A39&lt;=41,"34-41",A39&lt;=49,"42-49",A39&gt;49,"50 or above")</f>
        <v>18-25</v>
      </c>
      <c r="C39" t="s">
        <v>89</v>
      </c>
      <c r="D39" t="s">
        <v>63</v>
      </c>
      <c r="E39" t="s">
        <v>64</v>
      </c>
      <c r="F39" t="s">
        <v>127</v>
      </c>
      <c r="G39" t="s">
        <v>66</v>
      </c>
      <c r="H39" t="s">
        <v>66</v>
      </c>
      <c r="I39">
        <v>1</v>
      </c>
      <c r="J39" t="s">
        <v>67</v>
      </c>
      <c r="K39" t="s">
        <v>68</v>
      </c>
      <c r="L39" t="s">
        <v>69</v>
      </c>
      <c r="M39" t="s">
        <v>132</v>
      </c>
      <c r="P39" t="s">
        <v>67</v>
      </c>
      <c r="Q39" t="s">
        <v>98</v>
      </c>
      <c r="R39" t="s">
        <v>94</v>
      </c>
      <c r="S39" t="s">
        <v>95</v>
      </c>
      <c r="T39" t="s">
        <v>73</v>
      </c>
      <c r="U39" t="s">
        <v>74</v>
      </c>
      <c r="V39" t="s">
        <v>75</v>
      </c>
      <c r="W39" t="s">
        <v>76</v>
      </c>
      <c r="X39" t="s">
        <v>77</v>
      </c>
      <c r="Z39" t="s">
        <v>78</v>
      </c>
      <c r="AA39" t="s">
        <v>80</v>
      </c>
      <c r="AB39" t="s">
        <v>81</v>
      </c>
      <c r="AC39" t="s">
        <v>80</v>
      </c>
      <c r="AD39" t="s">
        <v>81</v>
      </c>
      <c r="AE39" t="s">
        <v>80</v>
      </c>
      <c r="AF39" t="s">
        <v>78</v>
      </c>
      <c r="AG39" t="s">
        <v>80</v>
      </c>
      <c r="AH39" t="s">
        <v>78</v>
      </c>
      <c r="AI39" t="s">
        <v>78</v>
      </c>
      <c r="AJ39">
        <v>5</v>
      </c>
      <c r="AK39">
        <v>5</v>
      </c>
      <c r="AL39">
        <v>5</v>
      </c>
      <c r="AM39" t="s">
        <v>115</v>
      </c>
    </row>
    <row r="40" spans="1:43" x14ac:dyDescent="0.35">
      <c r="A40">
        <v>30</v>
      </c>
      <c r="B40" t="str" cm="1">
        <f t="array" ref="B40">_xlfn.IFS(A40&lt;=25,"18-25",A40&lt;=33,"26-33",A40&lt;=41,"34-41",A40&lt;=49,"42-49",A40&gt;49,"50 or above")</f>
        <v>26-33</v>
      </c>
      <c r="C40" t="s">
        <v>89</v>
      </c>
      <c r="D40" t="s">
        <v>105</v>
      </c>
      <c r="E40" t="s">
        <v>86</v>
      </c>
      <c r="F40" t="s">
        <v>65</v>
      </c>
      <c r="G40" t="s">
        <v>66</v>
      </c>
      <c r="H40" t="s">
        <v>66</v>
      </c>
      <c r="I40">
        <v>1</v>
      </c>
      <c r="J40" t="s">
        <v>67</v>
      </c>
      <c r="K40" t="s">
        <v>68</v>
      </c>
      <c r="L40" t="s">
        <v>69</v>
      </c>
      <c r="P40" t="s">
        <v>67</v>
      </c>
      <c r="Q40" t="s">
        <v>98</v>
      </c>
      <c r="R40" t="s">
        <v>110</v>
      </c>
      <c r="S40" t="s">
        <v>72</v>
      </c>
      <c r="T40" t="s">
        <v>73</v>
      </c>
      <c r="U40" t="s">
        <v>74</v>
      </c>
      <c r="V40" t="s">
        <v>75</v>
      </c>
      <c r="W40" t="s">
        <v>76</v>
      </c>
      <c r="Z40" t="s">
        <v>81</v>
      </c>
      <c r="AA40" t="s">
        <v>80</v>
      </c>
      <c r="AB40" t="s">
        <v>79</v>
      </c>
      <c r="AC40" t="s">
        <v>81</v>
      </c>
      <c r="AD40" t="s">
        <v>101</v>
      </c>
      <c r="AE40" t="s">
        <v>79</v>
      </c>
      <c r="AF40" t="s">
        <v>78</v>
      </c>
      <c r="AG40" t="s">
        <v>81</v>
      </c>
      <c r="AH40" t="s">
        <v>78</v>
      </c>
      <c r="AI40" t="s">
        <v>81</v>
      </c>
      <c r="AJ40">
        <v>3</v>
      </c>
      <c r="AK40">
        <v>3</v>
      </c>
      <c r="AL40">
        <v>3</v>
      </c>
      <c r="AM40" t="s">
        <v>82</v>
      </c>
    </row>
    <row r="41" spans="1:43" x14ac:dyDescent="0.35">
      <c r="A41">
        <v>25</v>
      </c>
      <c r="B41" t="str" cm="1">
        <f t="array" ref="B41">_xlfn.IFS(A41&lt;=25,"18-25",A41&lt;=33,"26-33",A41&lt;=41,"34-41",A41&lt;=49,"42-49",A41&gt;49,"50 or above")</f>
        <v>18-25</v>
      </c>
      <c r="C41" t="s">
        <v>62</v>
      </c>
      <c r="D41" t="s">
        <v>116</v>
      </c>
      <c r="E41" t="s">
        <v>86</v>
      </c>
      <c r="F41" t="s">
        <v>90</v>
      </c>
      <c r="G41" t="s">
        <v>66</v>
      </c>
      <c r="H41" t="s">
        <v>66</v>
      </c>
      <c r="I41">
        <v>1</v>
      </c>
      <c r="J41" t="s">
        <v>67</v>
      </c>
      <c r="K41" t="s">
        <v>68</v>
      </c>
      <c r="L41" t="s">
        <v>69</v>
      </c>
      <c r="P41" t="s">
        <v>67</v>
      </c>
      <c r="Q41" t="s">
        <v>70</v>
      </c>
      <c r="R41" t="s">
        <v>71</v>
      </c>
      <c r="S41" t="s">
        <v>72</v>
      </c>
      <c r="T41" t="s">
        <v>99</v>
      </c>
      <c r="U41" t="s">
        <v>74</v>
      </c>
      <c r="V41" t="s">
        <v>75</v>
      </c>
      <c r="W41" t="s">
        <v>76</v>
      </c>
      <c r="X41" t="s">
        <v>77</v>
      </c>
      <c r="Y41" t="s">
        <v>108</v>
      </c>
      <c r="Z41" t="s">
        <v>78</v>
      </c>
      <c r="AA41" t="s">
        <v>80</v>
      </c>
      <c r="AB41" t="s">
        <v>81</v>
      </c>
      <c r="AC41" t="s">
        <v>78</v>
      </c>
      <c r="AD41" t="s">
        <v>79</v>
      </c>
      <c r="AE41" t="s">
        <v>78</v>
      </c>
      <c r="AF41" t="s">
        <v>80</v>
      </c>
      <c r="AG41" t="s">
        <v>80</v>
      </c>
      <c r="AH41" t="s">
        <v>80</v>
      </c>
      <c r="AI41" t="s">
        <v>80</v>
      </c>
      <c r="AJ41">
        <v>5</v>
      </c>
      <c r="AK41">
        <v>5</v>
      </c>
      <c r="AL41">
        <v>5</v>
      </c>
      <c r="AM41" t="s">
        <v>115</v>
      </c>
    </row>
    <row r="42" spans="1:43" x14ac:dyDescent="0.35">
      <c r="A42">
        <v>35</v>
      </c>
      <c r="B42" t="str" cm="1">
        <f t="array" ref="B42">_xlfn.IFS(A42&lt;=25,"18-25",A42&lt;=33,"26-33",A42&lt;=41,"34-41",A42&lt;=49,"42-49",A42&gt;49,"50 or above")</f>
        <v>34-41</v>
      </c>
      <c r="C42" t="s">
        <v>89</v>
      </c>
      <c r="D42" t="s">
        <v>116</v>
      </c>
      <c r="E42" t="s">
        <v>121</v>
      </c>
      <c r="F42" t="s">
        <v>90</v>
      </c>
      <c r="G42" t="s">
        <v>66</v>
      </c>
      <c r="H42" t="s">
        <v>66</v>
      </c>
      <c r="I42">
        <v>1</v>
      </c>
      <c r="J42" t="s">
        <v>67</v>
      </c>
      <c r="P42" t="s">
        <v>67</v>
      </c>
      <c r="Q42" t="s">
        <v>70</v>
      </c>
      <c r="R42" t="s">
        <v>110</v>
      </c>
      <c r="S42" t="s">
        <v>107</v>
      </c>
      <c r="T42" t="s">
        <v>99</v>
      </c>
      <c r="U42" t="s">
        <v>74</v>
      </c>
      <c r="V42" t="s">
        <v>75</v>
      </c>
      <c r="W42" t="s">
        <v>76</v>
      </c>
      <c r="X42" t="s">
        <v>77</v>
      </c>
      <c r="Y42" t="s">
        <v>108</v>
      </c>
      <c r="Z42" t="s">
        <v>78</v>
      </c>
      <c r="AA42" t="s">
        <v>78</v>
      </c>
      <c r="AB42" t="s">
        <v>79</v>
      </c>
      <c r="AC42" t="s">
        <v>80</v>
      </c>
      <c r="AD42" t="s">
        <v>101</v>
      </c>
      <c r="AE42" t="s">
        <v>80</v>
      </c>
      <c r="AF42" t="s">
        <v>80</v>
      </c>
      <c r="AG42" t="s">
        <v>80</v>
      </c>
      <c r="AH42" t="s">
        <v>81</v>
      </c>
      <c r="AI42" t="s">
        <v>81</v>
      </c>
      <c r="AJ42">
        <v>4</v>
      </c>
      <c r="AK42">
        <v>4</v>
      </c>
      <c r="AL42">
        <v>4</v>
      </c>
      <c r="AM42" t="s">
        <v>115</v>
      </c>
      <c r="AO42" t="s">
        <v>126</v>
      </c>
    </row>
    <row r="43" spans="1:43" x14ac:dyDescent="0.35">
      <c r="A43">
        <v>26</v>
      </c>
      <c r="B43" t="str" cm="1">
        <f t="array" ref="B43">_xlfn.IFS(A43&lt;=25,"18-25",A43&lt;=33,"26-33",A43&lt;=41,"34-41",A43&lt;=49,"42-49",A43&gt;49,"50 or above")</f>
        <v>26-33</v>
      </c>
      <c r="C43" t="s">
        <v>89</v>
      </c>
      <c r="D43" t="s">
        <v>105</v>
      </c>
      <c r="E43" t="s">
        <v>64</v>
      </c>
      <c r="F43" t="s">
        <v>127</v>
      </c>
      <c r="G43" t="s">
        <v>66</v>
      </c>
      <c r="H43" t="s">
        <v>66</v>
      </c>
      <c r="I43">
        <v>1</v>
      </c>
      <c r="J43" t="s">
        <v>67</v>
      </c>
      <c r="P43" t="s">
        <v>67</v>
      </c>
      <c r="Q43" t="s">
        <v>70</v>
      </c>
      <c r="R43" t="s">
        <v>110</v>
      </c>
      <c r="S43" t="s">
        <v>107</v>
      </c>
      <c r="T43" t="s">
        <v>73</v>
      </c>
      <c r="U43" t="s">
        <v>74</v>
      </c>
      <c r="V43" t="s">
        <v>75</v>
      </c>
      <c r="W43" t="s">
        <v>76</v>
      </c>
      <c r="X43" t="s">
        <v>77</v>
      </c>
      <c r="Z43" t="s">
        <v>80</v>
      </c>
      <c r="AA43" t="s">
        <v>80</v>
      </c>
      <c r="AB43" t="s">
        <v>81</v>
      </c>
      <c r="AC43" t="s">
        <v>81</v>
      </c>
      <c r="AD43" t="s">
        <v>101</v>
      </c>
      <c r="AE43" t="s">
        <v>78</v>
      </c>
      <c r="AF43" t="s">
        <v>80</v>
      </c>
      <c r="AG43" t="s">
        <v>81</v>
      </c>
      <c r="AH43" t="s">
        <v>79</v>
      </c>
      <c r="AI43" t="s">
        <v>80</v>
      </c>
      <c r="AJ43">
        <v>5</v>
      </c>
      <c r="AK43">
        <v>5</v>
      </c>
      <c r="AL43">
        <v>5</v>
      </c>
      <c r="AM43" t="s">
        <v>115</v>
      </c>
    </row>
    <row r="44" spans="1:43" x14ac:dyDescent="0.35">
      <c r="A44">
        <v>19</v>
      </c>
      <c r="B44" t="str" cm="1">
        <f t="array" ref="B44">_xlfn.IFS(A44&lt;=25,"18-25",A44&lt;=33,"26-33",A44&lt;=41,"34-41",A44&lt;=49,"42-49",A44&gt;49,"50 or above")</f>
        <v>18-25</v>
      </c>
      <c r="C44" t="s">
        <v>89</v>
      </c>
      <c r="D44" t="s">
        <v>119</v>
      </c>
      <c r="E44" t="s">
        <v>64</v>
      </c>
      <c r="F44" t="s">
        <v>127</v>
      </c>
      <c r="G44" t="s">
        <v>66</v>
      </c>
      <c r="H44" t="s">
        <v>66</v>
      </c>
      <c r="I44">
        <v>1</v>
      </c>
      <c r="J44" t="s">
        <v>67</v>
      </c>
      <c r="K44" t="s">
        <v>68</v>
      </c>
      <c r="L44" t="s">
        <v>69</v>
      </c>
      <c r="P44" t="s">
        <v>67</v>
      </c>
      <c r="Q44" t="s">
        <v>103</v>
      </c>
      <c r="R44" t="s">
        <v>94</v>
      </c>
      <c r="S44" t="s">
        <v>113</v>
      </c>
      <c r="T44" t="s">
        <v>99</v>
      </c>
      <c r="V44" t="s">
        <v>96</v>
      </c>
      <c r="Z44" t="s">
        <v>78</v>
      </c>
      <c r="AA44" t="s">
        <v>80</v>
      </c>
      <c r="AB44" t="s">
        <v>78</v>
      </c>
      <c r="AC44" t="s">
        <v>80</v>
      </c>
      <c r="AD44" t="s">
        <v>81</v>
      </c>
      <c r="AE44" t="s">
        <v>79</v>
      </c>
      <c r="AF44" t="s">
        <v>78</v>
      </c>
      <c r="AG44" t="s">
        <v>79</v>
      </c>
      <c r="AH44" t="s">
        <v>78</v>
      </c>
      <c r="AI44" t="s">
        <v>78</v>
      </c>
      <c r="AJ44">
        <v>4</v>
      </c>
      <c r="AK44">
        <v>4</v>
      </c>
      <c r="AL44">
        <v>4</v>
      </c>
      <c r="AM44" t="s">
        <v>133</v>
      </c>
    </row>
    <row r="45" spans="1:43" x14ac:dyDescent="0.35">
      <c r="A45">
        <v>26</v>
      </c>
      <c r="B45" t="str" cm="1">
        <f t="array" ref="B45">_xlfn.IFS(A45&lt;=25,"18-25",A45&lt;=33,"26-33",A45&lt;=41,"34-41",A45&lt;=49,"42-49",A45&gt;49,"50 or above")</f>
        <v>26-33</v>
      </c>
      <c r="C45" t="s">
        <v>62</v>
      </c>
      <c r="D45" t="s">
        <v>105</v>
      </c>
      <c r="E45" t="s">
        <v>86</v>
      </c>
      <c r="F45" t="s">
        <v>90</v>
      </c>
      <c r="G45" t="s">
        <v>66</v>
      </c>
      <c r="H45" t="s">
        <v>66</v>
      </c>
      <c r="I45">
        <v>1</v>
      </c>
      <c r="L45" t="s">
        <v>91</v>
      </c>
      <c r="P45" t="s">
        <v>91</v>
      </c>
      <c r="Q45" t="s">
        <v>70</v>
      </c>
      <c r="R45" t="s">
        <v>92</v>
      </c>
      <c r="S45" t="s">
        <v>72</v>
      </c>
      <c r="T45" t="s">
        <v>73</v>
      </c>
      <c r="U45" t="s">
        <v>74</v>
      </c>
      <c r="V45" t="s">
        <v>75</v>
      </c>
      <c r="Z45" t="s">
        <v>80</v>
      </c>
      <c r="AA45" t="s">
        <v>81</v>
      </c>
      <c r="AB45" t="s">
        <v>80</v>
      </c>
      <c r="AC45" t="s">
        <v>79</v>
      </c>
      <c r="AD45" t="s">
        <v>81</v>
      </c>
      <c r="AE45" t="s">
        <v>81</v>
      </c>
      <c r="AF45" t="s">
        <v>78</v>
      </c>
      <c r="AG45" t="s">
        <v>81</v>
      </c>
      <c r="AH45" t="s">
        <v>79</v>
      </c>
      <c r="AI45" t="s">
        <v>81</v>
      </c>
      <c r="AJ45">
        <v>4</v>
      </c>
      <c r="AK45">
        <v>4</v>
      </c>
      <c r="AL45">
        <v>4</v>
      </c>
      <c r="AM45" t="s">
        <v>115</v>
      </c>
    </row>
    <row r="46" spans="1:43" x14ac:dyDescent="0.35">
      <c r="A46">
        <v>21</v>
      </c>
      <c r="B46" t="str" cm="1">
        <f t="array" ref="B46">_xlfn.IFS(A46&lt;=25,"18-25",A46&lt;=33,"26-33",A46&lt;=41,"34-41",A46&lt;=49,"42-49",A46&gt;49,"50 or above")</f>
        <v>18-25</v>
      </c>
      <c r="C46" t="s">
        <v>89</v>
      </c>
      <c r="D46" t="s">
        <v>105</v>
      </c>
      <c r="E46" t="s">
        <v>64</v>
      </c>
      <c r="F46" t="s">
        <v>87</v>
      </c>
      <c r="G46" t="s">
        <v>66</v>
      </c>
      <c r="H46" t="s">
        <v>66</v>
      </c>
      <c r="I46">
        <v>1</v>
      </c>
      <c r="J46" t="s">
        <v>67</v>
      </c>
      <c r="K46" t="s">
        <v>68</v>
      </c>
      <c r="L46" t="s">
        <v>69</v>
      </c>
      <c r="P46" t="s">
        <v>67</v>
      </c>
      <c r="Q46" t="s">
        <v>103</v>
      </c>
      <c r="R46" t="s">
        <v>94</v>
      </c>
      <c r="S46" t="s">
        <v>72</v>
      </c>
      <c r="T46" t="s">
        <v>73</v>
      </c>
      <c r="V46" t="s">
        <v>96</v>
      </c>
      <c r="Z46" t="s">
        <v>78</v>
      </c>
      <c r="AA46" t="s">
        <v>80</v>
      </c>
      <c r="AB46" t="s">
        <v>80</v>
      </c>
      <c r="AC46" t="s">
        <v>81</v>
      </c>
      <c r="AD46" t="s">
        <v>101</v>
      </c>
      <c r="AE46" t="s">
        <v>81</v>
      </c>
      <c r="AF46" t="s">
        <v>80</v>
      </c>
      <c r="AG46" t="s">
        <v>80</v>
      </c>
      <c r="AH46" t="s">
        <v>78</v>
      </c>
      <c r="AI46" t="s">
        <v>78</v>
      </c>
      <c r="AJ46">
        <v>3</v>
      </c>
      <c r="AK46">
        <v>4</v>
      </c>
      <c r="AL46">
        <v>4</v>
      </c>
      <c r="AM46" t="s">
        <v>82</v>
      </c>
    </row>
    <row r="47" spans="1:43" x14ac:dyDescent="0.35">
      <c r="A47">
        <v>22</v>
      </c>
      <c r="B47" t="str" cm="1">
        <f t="array" ref="B47">_xlfn.IFS(A47&lt;=25,"18-25",A47&lt;=33,"26-33",A47&lt;=41,"34-41",A47&lt;=49,"42-49",A47&gt;49,"50 or above")</f>
        <v>18-25</v>
      </c>
      <c r="C47" t="s">
        <v>89</v>
      </c>
      <c r="D47" t="s">
        <v>105</v>
      </c>
      <c r="E47" t="s">
        <v>64</v>
      </c>
      <c r="F47" t="s">
        <v>90</v>
      </c>
      <c r="G47" t="s">
        <v>66</v>
      </c>
      <c r="H47" t="s">
        <v>66</v>
      </c>
      <c r="I47">
        <v>1</v>
      </c>
      <c r="J47" t="s">
        <v>67</v>
      </c>
      <c r="K47" t="s">
        <v>68</v>
      </c>
      <c r="L47" t="s">
        <v>69</v>
      </c>
      <c r="P47" t="s">
        <v>67</v>
      </c>
      <c r="Q47" t="s">
        <v>70</v>
      </c>
      <c r="R47" t="s">
        <v>94</v>
      </c>
      <c r="S47" t="s">
        <v>72</v>
      </c>
      <c r="T47" t="s">
        <v>99</v>
      </c>
      <c r="U47" t="s">
        <v>74</v>
      </c>
      <c r="V47" t="s">
        <v>75</v>
      </c>
      <c r="Z47" t="s">
        <v>81</v>
      </c>
      <c r="AA47" t="s">
        <v>81</v>
      </c>
      <c r="AB47" t="s">
        <v>81</v>
      </c>
      <c r="AC47" t="s">
        <v>80</v>
      </c>
      <c r="AD47" t="s">
        <v>81</v>
      </c>
      <c r="AE47" t="s">
        <v>80</v>
      </c>
      <c r="AF47" t="s">
        <v>80</v>
      </c>
      <c r="AG47" t="s">
        <v>80</v>
      </c>
      <c r="AH47" t="s">
        <v>80</v>
      </c>
      <c r="AI47" t="s">
        <v>80</v>
      </c>
      <c r="AJ47">
        <v>3</v>
      </c>
      <c r="AK47">
        <v>2</v>
      </c>
      <c r="AL47">
        <v>3</v>
      </c>
      <c r="AM47" t="s">
        <v>104</v>
      </c>
      <c r="AQ47" t="s">
        <v>118</v>
      </c>
    </row>
    <row r="48" spans="1:43" x14ac:dyDescent="0.35">
      <c r="A48">
        <v>45</v>
      </c>
      <c r="B48" t="str" cm="1">
        <f t="array" ref="B48">_xlfn.IFS(A48&lt;=25,"18-25",A48&lt;=33,"26-33",A48&lt;=41,"34-41",A48&lt;=49,"42-49",A48&gt;49,"50 or above")</f>
        <v>42-49</v>
      </c>
      <c r="C48" t="s">
        <v>89</v>
      </c>
      <c r="D48" t="s">
        <v>116</v>
      </c>
      <c r="E48" t="s">
        <v>86</v>
      </c>
      <c r="F48" t="s">
        <v>65</v>
      </c>
      <c r="G48" t="s">
        <v>66</v>
      </c>
      <c r="H48" t="s">
        <v>66</v>
      </c>
      <c r="I48">
        <v>1</v>
      </c>
      <c r="J48" t="s">
        <v>67</v>
      </c>
      <c r="K48" t="s">
        <v>68</v>
      </c>
      <c r="L48" t="s">
        <v>69</v>
      </c>
      <c r="P48" t="s">
        <v>67</v>
      </c>
      <c r="Q48" t="s">
        <v>70</v>
      </c>
      <c r="R48" t="s">
        <v>110</v>
      </c>
      <c r="S48" t="s">
        <v>95</v>
      </c>
      <c r="T48" t="s">
        <v>73</v>
      </c>
      <c r="W48" t="s">
        <v>134</v>
      </c>
      <c r="Z48" t="s">
        <v>80</v>
      </c>
      <c r="AA48" t="s">
        <v>80</v>
      </c>
      <c r="AB48" t="s">
        <v>79</v>
      </c>
      <c r="AC48" t="s">
        <v>80</v>
      </c>
      <c r="AD48" t="s">
        <v>101</v>
      </c>
      <c r="AE48" t="s">
        <v>80</v>
      </c>
      <c r="AF48" t="s">
        <v>80</v>
      </c>
      <c r="AG48" t="s">
        <v>80</v>
      </c>
      <c r="AH48" t="s">
        <v>80</v>
      </c>
      <c r="AI48" t="s">
        <v>80</v>
      </c>
      <c r="AJ48">
        <v>4</v>
      </c>
      <c r="AK48">
        <v>4</v>
      </c>
      <c r="AL48">
        <v>4</v>
      </c>
      <c r="AM48" t="s">
        <v>82</v>
      </c>
    </row>
    <row r="49" spans="1:47" x14ac:dyDescent="0.35">
      <c r="A49">
        <v>22</v>
      </c>
      <c r="B49" t="str" cm="1">
        <f t="array" ref="B49">_xlfn.IFS(A49&lt;=25,"18-25",A49&lt;=33,"26-33",A49&lt;=41,"34-41",A49&lt;=49,"42-49",A49&gt;49,"50 or above")</f>
        <v>18-25</v>
      </c>
      <c r="C49" t="s">
        <v>62</v>
      </c>
      <c r="D49" t="s">
        <v>105</v>
      </c>
      <c r="E49" t="s">
        <v>64</v>
      </c>
      <c r="F49" t="s">
        <v>127</v>
      </c>
      <c r="G49" t="s">
        <v>66</v>
      </c>
      <c r="H49" t="s">
        <v>66</v>
      </c>
      <c r="I49">
        <v>1</v>
      </c>
      <c r="J49" t="s">
        <v>67</v>
      </c>
      <c r="K49" t="s">
        <v>68</v>
      </c>
      <c r="L49" t="s">
        <v>69</v>
      </c>
      <c r="P49" t="s">
        <v>67</v>
      </c>
      <c r="Q49" t="s">
        <v>70</v>
      </c>
      <c r="R49" t="s">
        <v>94</v>
      </c>
      <c r="S49" t="s">
        <v>72</v>
      </c>
      <c r="T49" t="s">
        <v>73</v>
      </c>
      <c r="V49" t="s">
        <v>96</v>
      </c>
      <c r="Z49" t="s">
        <v>78</v>
      </c>
      <c r="AA49" t="s">
        <v>81</v>
      </c>
      <c r="AB49" t="s">
        <v>80</v>
      </c>
      <c r="AC49" t="s">
        <v>80</v>
      </c>
      <c r="AD49" t="s">
        <v>79</v>
      </c>
      <c r="AE49" t="s">
        <v>81</v>
      </c>
      <c r="AF49" t="s">
        <v>78</v>
      </c>
      <c r="AG49" t="s">
        <v>81</v>
      </c>
      <c r="AH49" t="s">
        <v>80</v>
      </c>
      <c r="AI49" t="s">
        <v>80</v>
      </c>
      <c r="AJ49">
        <v>4</v>
      </c>
      <c r="AK49">
        <v>5</v>
      </c>
      <c r="AL49">
        <v>5</v>
      </c>
      <c r="AM49" t="s">
        <v>104</v>
      </c>
    </row>
    <row r="50" spans="1:47" x14ac:dyDescent="0.35">
      <c r="A50">
        <v>23</v>
      </c>
      <c r="B50" t="str" cm="1">
        <f t="array" ref="B50">_xlfn.IFS(A50&lt;=25,"18-25",A50&lt;=33,"26-33",A50&lt;=41,"34-41",A50&lt;=49,"42-49",A50&gt;49,"50 or above")</f>
        <v>18-25</v>
      </c>
      <c r="C50" t="s">
        <v>62</v>
      </c>
      <c r="D50" t="s">
        <v>105</v>
      </c>
      <c r="E50" t="s">
        <v>64</v>
      </c>
      <c r="F50" t="s">
        <v>90</v>
      </c>
      <c r="G50" t="s">
        <v>66</v>
      </c>
      <c r="H50" t="s">
        <v>66</v>
      </c>
      <c r="I50">
        <v>1</v>
      </c>
      <c r="J50" t="s">
        <v>67</v>
      </c>
      <c r="K50" t="s">
        <v>68</v>
      </c>
      <c r="L50" t="s">
        <v>69</v>
      </c>
      <c r="P50" t="s">
        <v>93</v>
      </c>
      <c r="Q50" t="s">
        <v>117</v>
      </c>
      <c r="R50" t="s">
        <v>94</v>
      </c>
      <c r="S50" t="s">
        <v>72</v>
      </c>
      <c r="T50" t="s">
        <v>73</v>
      </c>
      <c r="V50" t="s">
        <v>96</v>
      </c>
      <c r="Z50" t="s">
        <v>78</v>
      </c>
      <c r="AA50" t="s">
        <v>78</v>
      </c>
      <c r="AB50" t="s">
        <v>78</v>
      </c>
      <c r="AC50" t="s">
        <v>78</v>
      </c>
      <c r="AD50" t="s">
        <v>80</v>
      </c>
      <c r="AE50" t="s">
        <v>78</v>
      </c>
      <c r="AF50" t="s">
        <v>78</v>
      </c>
      <c r="AG50" t="s">
        <v>78</v>
      </c>
      <c r="AH50" t="s">
        <v>81</v>
      </c>
      <c r="AI50" t="s">
        <v>81</v>
      </c>
      <c r="AJ50">
        <v>5</v>
      </c>
      <c r="AK50">
        <v>4</v>
      </c>
      <c r="AL50">
        <v>5</v>
      </c>
      <c r="AM50" t="s">
        <v>82</v>
      </c>
    </row>
    <row r="51" spans="1:47" x14ac:dyDescent="0.35">
      <c r="A51">
        <v>22</v>
      </c>
      <c r="B51" t="str" cm="1">
        <f t="array" ref="B51">_xlfn.IFS(A51&lt;=25,"18-25",A51&lt;=33,"26-33",A51&lt;=41,"34-41",A51&lt;=49,"42-49",A51&gt;49,"50 or above")</f>
        <v>18-25</v>
      </c>
      <c r="C51" t="s">
        <v>89</v>
      </c>
      <c r="D51" t="s">
        <v>63</v>
      </c>
      <c r="E51" t="s">
        <v>64</v>
      </c>
      <c r="F51" t="s">
        <v>102</v>
      </c>
      <c r="G51" t="s">
        <v>66</v>
      </c>
      <c r="H51" t="s">
        <v>66</v>
      </c>
      <c r="I51">
        <v>1</v>
      </c>
      <c r="J51" t="s">
        <v>67</v>
      </c>
      <c r="K51" t="s">
        <v>68</v>
      </c>
      <c r="L51" t="s">
        <v>69</v>
      </c>
      <c r="P51" t="s">
        <v>91</v>
      </c>
      <c r="Q51" t="s">
        <v>117</v>
      </c>
      <c r="R51" t="s">
        <v>92</v>
      </c>
      <c r="S51" t="s">
        <v>113</v>
      </c>
      <c r="T51" t="s">
        <v>99</v>
      </c>
      <c r="U51" t="s">
        <v>74</v>
      </c>
      <c r="V51" t="s">
        <v>75</v>
      </c>
      <c r="W51" t="s">
        <v>76</v>
      </c>
      <c r="Z51" t="s">
        <v>80</v>
      </c>
      <c r="AA51" t="s">
        <v>80</v>
      </c>
      <c r="AB51" t="s">
        <v>80</v>
      </c>
      <c r="AC51" t="s">
        <v>78</v>
      </c>
      <c r="AD51" t="s">
        <v>80</v>
      </c>
      <c r="AE51" t="s">
        <v>81</v>
      </c>
      <c r="AF51" t="s">
        <v>80</v>
      </c>
      <c r="AG51" t="s">
        <v>78</v>
      </c>
      <c r="AH51" t="s">
        <v>78</v>
      </c>
      <c r="AI51" t="s">
        <v>78</v>
      </c>
      <c r="AJ51">
        <v>4</v>
      </c>
      <c r="AK51">
        <v>4</v>
      </c>
      <c r="AL51">
        <v>5</v>
      </c>
      <c r="AM51" t="s">
        <v>97</v>
      </c>
    </row>
    <row r="52" spans="1:47" x14ac:dyDescent="0.35">
      <c r="A52">
        <v>21</v>
      </c>
      <c r="B52" t="str" cm="1">
        <f t="array" ref="B52">_xlfn.IFS(A52&lt;=25,"18-25",A52&lt;=33,"26-33",A52&lt;=41,"34-41",A52&lt;=49,"42-49",A52&gt;49,"50 or above")</f>
        <v>18-25</v>
      </c>
      <c r="C52" t="s">
        <v>89</v>
      </c>
      <c r="D52" t="s">
        <v>105</v>
      </c>
      <c r="E52" t="s">
        <v>64</v>
      </c>
      <c r="F52" t="s">
        <v>90</v>
      </c>
      <c r="G52" t="s">
        <v>66</v>
      </c>
      <c r="H52" t="s">
        <v>66</v>
      </c>
      <c r="I52">
        <v>1</v>
      </c>
      <c r="J52" t="s">
        <v>67</v>
      </c>
      <c r="K52" t="s">
        <v>68</v>
      </c>
      <c r="L52" t="s">
        <v>69</v>
      </c>
      <c r="P52" t="s">
        <v>67</v>
      </c>
      <c r="Q52" t="s">
        <v>98</v>
      </c>
      <c r="R52" t="s">
        <v>92</v>
      </c>
      <c r="S52" t="s">
        <v>72</v>
      </c>
      <c r="T52" t="s">
        <v>73</v>
      </c>
      <c r="U52" t="s">
        <v>74</v>
      </c>
      <c r="V52" t="s">
        <v>75</v>
      </c>
      <c r="Z52" t="s">
        <v>78</v>
      </c>
      <c r="AA52" t="s">
        <v>78</v>
      </c>
      <c r="AB52" t="s">
        <v>79</v>
      </c>
      <c r="AC52" t="s">
        <v>80</v>
      </c>
      <c r="AD52" t="s">
        <v>79</v>
      </c>
      <c r="AE52" t="s">
        <v>80</v>
      </c>
      <c r="AF52" t="s">
        <v>80</v>
      </c>
      <c r="AG52" t="s">
        <v>80</v>
      </c>
      <c r="AH52" t="s">
        <v>80</v>
      </c>
      <c r="AI52" t="s">
        <v>78</v>
      </c>
      <c r="AJ52">
        <v>5</v>
      </c>
      <c r="AK52">
        <v>5</v>
      </c>
      <c r="AL52">
        <v>5</v>
      </c>
      <c r="AM52" t="s">
        <v>104</v>
      </c>
    </row>
    <row r="53" spans="1:47" x14ac:dyDescent="0.35">
      <c r="A53">
        <v>27</v>
      </c>
      <c r="B53" t="str" cm="1">
        <f t="array" ref="B53">_xlfn.IFS(A53&lt;=25,"18-25",A53&lt;=33,"26-33",A53&lt;=41,"34-41",A53&lt;=49,"42-49",A53&gt;49,"50 or above")</f>
        <v>26-33</v>
      </c>
      <c r="C53" t="s">
        <v>89</v>
      </c>
      <c r="D53" t="s">
        <v>105</v>
      </c>
      <c r="E53" t="s">
        <v>64</v>
      </c>
      <c r="F53" t="s">
        <v>90</v>
      </c>
      <c r="G53" t="s">
        <v>66</v>
      </c>
      <c r="H53" t="s">
        <v>66</v>
      </c>
      <c r="I53">
        <v>1</v>
      </c>
      <c r="J53" t="s">
        <v>67</v>
      </c>
      <c r="K53" t="s">
        <v>68</v>
      </c>
      <c r="L53" t="s">
        <v>69</v>
      </c>
      <c r="P53" t="s">
        <v>91</v>
      </c>
      <c r="Q53" t="s">
        <v>98</v>
      </c>
      <c r="R53" t="s">
        <v>92</v>
      </c>
      <c r="S53" t="s">
        <v>72</v>
      </c>
      <c r="T53" t="s">
        <v>73</v>
      </c>
      <c r="U53" t="s">
        <v>74</v>
      </c>
      <c r="V53" t="s">
        <v>75</v>
      </c>
      <c r="W53" t="s">
        <v>76</v>
      </c>
      <c r="Z53" t="s">
        <v>80</v>
      </c>
      <c r="AA53" t="s">
        <v>78</v>
      </c>
      <c r="AB53" t="s">
        <v>79</v>
      </c>
      <c r="AC53" t="s">
        <v>81</v>
      </c>
      <c r="AD53" t="s">
        <v>81</v>
      </c>
      <c r="AE53" t="s">
        <v>80</v>
      </c>
      <c r="AF53" t="s">
        <v>78</v>
      </c>
      <c r="AG53" t="s">
        <v>80</v>
      </c>
      <c r="AH53" t="s">
        <v>78</v>
      </c>
      <c r="AI53" t="s">
        <v>80</v>
      </c>
      <c r="AJ53">
        <v>5</v>
      </c>
      <c r="AK53">
        <v>4</v>
      </c>
      <c r="AL53">
        <v>4</v>
      </c>
      <c r="AM53" t="s">
        <v>104</v>
      </c>
    </row>
    <row r="54" spans="1:47" x14ac:dyDescent="0.35">
      <c r="A54">
        <v>52</v>
      </c>
      <c r="B54" t="str" cm="1">
        <f t="array" ref="B54">_xlfn.IFS(A54&lt;=25,"18-25",A54&lt;=33,"26-33",A54&lt;=41,"34-41",A54&lt;=49,"42-49",A54&gt;49,"50 or above")</f>
        <v>50 or above</v>
      </c>
      <c r="C54" t="s">
        <v>89</v>
      </c>
      <c r="D54" t="s">
        <v>63</v>
      </c>
      <c r="E54" t="s">
        <v>86</v>
      </c>
      <c r="F54" t="s">
        <v>90</v>
      </c>
      <c r="G54" t="s">
        <v>66</v>
      </c>
      <c r="H54" t="s">
        <v>66</v>
      </c>
      <c r="I54">
        <v>1</v>
      </c>
      <c r="J54" t="s">
        <v>67</v>
      </c>
      <c r="K54" t="s">
        <v>68</v>
      </c>
      <c r="L54" t="s">
        <v>69</v>
      </c>
      <c r="P54" t="s">
        <v>91</v>
      </c>
      <c r="Q54" t="s">
        <v>117</v>
      </c>
      <c r="R54" t="s">
        <v>92</v>
      </c>
      <c r="S54" t="s">
        <v>72</v>
      </c>
      <c r="T54" t="s">
        <v>73</v>
      </c>
      <c r="U54" t="s">
        <v>74</v>
      </c>
      <c r="Z54" t="s">
        <v>78</v>
      </c>
      <c r="AA54" t="s">
        <v>78</v>
      </c>
      <c r="AB54" t="s">
        <v>80</v>
      </c>
      <c r="AC54" t="s">
        <v>80</v>
      </c>
      <c r="AD54" t="s">
        <v>78</v>
      </c>
      <c r="AE54" t="s">
        <v>80</v>
      </c>
      <c r="AF54" t="s">
        <v>78</v>
      </c>
      <c r="AG54" t="s">
        <v>80</v>
      </c>
      <c r="AH54" t="s">
        <v>81</v>
      </c>
      <c r="AI54" t="s">
        <v>80</v>
      </c>
      <c r="AJ54">
        <v>4</v>
      </c>
      <c r="AK54">
        <v>4</v>
      </c>
      <c r="AL54">
        <v>5</v>
      </c>
      <c r="AM54" t="s">
        <v>115</v>
      </c>
    </row>
    <row r="55" spans="1:47" x14ac:dyDescent="0.35">
      <c r="A55">
        <v>22</v>
      </c>
      <c r="B55" t="str" cm="1">
        <f t="array" ref="B55">_xlfn.IFS(A55&lt;=25,"18-25",A55&lt;=33,"26-33",A55&lt;=41,"34-41",A55&lt;=49,"42-49",A55&gt;49,"50 or above")</f>
        <v>18-25</v>
      </c>
      <c r="C55" t="s">
        <v>89</v>
      </c>
      <c r="D55" t="s">
        <v>105</v>
      </c>
      <c r="E55" t="s">
        <v>64</v>
      </c>
      <c r="F55" t="s">
        <v>87</v>
      </c>
      <c r="G55" t="s">
        <v>66</v>
      </c>
      <c r="H55" t="s">
        <v>66</v>
      </c>
      <c r="I55">
        <v>1</v>
      </c>
      <c r="J55" t="s">
        <v>67</v>
      </c>
      <c r="K55" t="s">
        <v>68</v>
      </c>
      <c r="P55" t="s">
        <v>67</v>
      </c>
      <c r="Q55" t="s">
        <v>117</v>
      </c>
      <c r="R55" t="s">
        <v>94</v>
      </c>
      <c r="S55" t="s">
        <v>113</v>
      </c>
      <c r="T55" t="s">
        <v>99</v>
      </c>
      <c r="Y55" t="s">
        <v>135</v>
      </c>
      <c r="Z55" t="s">
        <v>80</v>
      </c>
      <c r="AA55" t="s">
        <v>81</v>
      </c>
      <c r="AB55" t="s">
        <v>81</v>
      </c>
      <c r="AC55" t="s">
        <v>80</v>
      </c>
      <c r="AD55" t="s">
        <v>79</v>
      </c>
      <c r="AE55" t="s">
        <v>81</v>
      </c>
      <c r="AF55" t="s">
        <v>80</v>
      </c>
      <c r="AG55" t="s">
        <v>80</v>
      </c>
      <c r="AH55" t="s">
        <v>81</v>
      </c>
      <c r="AI55" t="s">
        <v>81</v>
      </c>
      <c r="AJ55">
        <v>2</v>
      </c>
      <c r="AK55">
        <v>3</v>
      </c>
      <c r="AL55">
        <v>2</v>
      </c>
      <c r="AM55" t="s">
        <v>104</v>
      </c>
    </row>
    <row r="56" spans="1:47" x14ac:dyDescent="0.35">
      <c r="A56">
        <v>22</v>
      </c>
      <c r="B56" t="str" cm="1">
        <f t="array" ref="B56">_xlfn.IFS(A56&lt;=25,"18-25",A56&lt;=33,"26-33",A56&lt;=41,"34-41",A56&lt;=49,"42-49",A56&gt;49,"50 or above")</f>
        <v>18-25</v>
      </c>
      <c r="C56" t="s">
        <v>89</v>
      </c>
      <c r="D56" t="s">
        <v>105</v>
      </c>
      <c r="E56" t="s">
        <v>64</v>
      </c>
      <c r="F56" t="s">
        <v>127</v>
      </c>
      <c r="G56" t="s">
        <v>66</v>
      </c>
      <c r="H56" t="s">
        <v>66</v>
      </c>
      <c r="I56">
        <v>1</v>
      </c>
      <c r="J56" t="s">
        <v>67</v>
      </c>
      <c r="K56" t="s">
        <v>68</v>
      </c>
      <c r="L56" t="s">
        <v>69</v>
      </c>
      <c r="P56" t="s">
        <v>67</v>
      </c>
      <c r="Q56" t="s">
        <v>70</v>
      </c>
      <c r="R56" t="s">
        <v>92</v>
      </c>
      <c r="S56" t="s">
        <v>113</v>
      </c>
      <c r="T56" t="s">
        <v>73</v>
      </c>
      <c r="U56" t="s">
        <v>74</v>
      </c>
      <c r="V56" t="s">
        <v>75</v>
      </c>
      <c r="Z56" t="s">
        <v>78</v>
      </c>
      <c r="AA56" t="s">
        <v>78</v>
      </c>
      <c r="AB56" t="s">
        <v>81</v>
      </c>
      <c r="AC56" t="s">
        <v>78</v>
      </c>
      <c r="AD56" t="s">
        <v>78</v>
      </c>
      <c r="AE56" t="s">
        <v>78</v>
      </c>
      <c r="AF56" t="s">
        <v>78</v>
      </c>
      <c r="AG56" t="s">
        <v>78</v>
      </c>
      <c r="AH56" t="s">
        <v>78</v>
      </c>
      <c r="AI56" t="s">
        <v>78</v>
      </c>
      <c r="AJ56">
        <v>5</v>
      </c>
      <c r="AK56">
        <v>5</v>
      </c>
      <c r="AL56">
        <v>5</v>
      </c>
      <c r="AM56" t="s">
        <v>82</v>
      </c>
      <c r="AQ56" t="s">
        <v>118</v>
      </c>
      <c r="AR56" t="s">
        <v>124</v>
      </c>
    </row>
    <row r="57" spans="1:47" x14ac:dyDescent="0.35">
      <c r="A57">
        <v>20</v>
      </c>
      <c r="B57" t="str" cm="1">
        <f t="array" ref="B57">_xlfn.IFS(A57&lt;=25,"18-25",A57&lt;=33,"26-33",A57&lt;=41,"34-41",A57&lt;=49,"42-49",A57&gt;49,"50 or above")</f>
        <v>18-25</v>
      </c>
      <c r="C57" t="s">
        <v>89</v>
      </c>
      <c r="D57" t="s">
        <v>63</v>
      </c>
      <c r="E57" t="s">
        <v>64</v>
      </c>
      <c r="F57" t="s">
        <v>90</v>
      </c>
      <c r="G57" t="s">
        <v>66</v>
      </c>
      <c r="H57" t="s">
        <v>66</v>
      </c>
      <c r="I57">
        <v>1</v>
      </c>
      <c r="J57" t="s">
        <v>67</v>
      </c>
      <c r="K57" t="s">
        <v>68</v>
      </c>
      <c r="L57" t="s">
        <v>69</v>
      </c>
      <c r="P57" t="s">
        <v>93</v>
      </c>
      <c r="Q57" t="s">
        <v>70</v>
      </c>
      <c r="R57" t="s">
        <v>94</v>
      </c>
      <c r="S57" t="s">
        <v>107</v>
      </c>
      <c r="T57" t="s">
        <v>99</v>
      </c>
      <c r="U57" t="s">
        <v>74</v>
      </c>
      <c r="Z57" t="s">
        <v>81</v>
      </c>
      <c r="AA57" t="s">
        <v>81</v>
      </c>
      <c r="AB57" t="s">
        <v>81</v>
      </c>
      <c r="AC57" t="s">
        <v>81</v>
      </c>
      <c r="AD57" t="s">
        <v>81</v>
      </c>
      <c r="AE57" t="s">
        <v>81</v>
      </c>
      <c r="AF57" t="s">
        <v>81</v>
      </c>
      <c r="AG57" t="s">
        <v>81</v>
      </c>
      <c r="AH57" t="s">
        <v>81</v>
      </c>
      <c r="AI57" t="s">
        <v>81</v>
      </c>
      <c r="AJ57">
        <v>4</v>
      </c>
      <c r="AK57">
        <v>4</v>
      </c>
      <c r="AL57">
        <v>4</v>
      </c>
      <c r="AM57" t="s">
        <v>82</v>
      </c>
      <c r="AQ57" t="s">
        <v>118</v>
      </c>
      <c r="AR57" t="s">
        <v>124</v>
      </c>
    </row>
    <row r="58" spans="1:47" x14ac:dyDescent="0.35">
      <c r="A58">
        <v>25</v>
      </c>
      <c r="B58" t="str" cm="1">
        <f t="array" ref="B58">_xlfn.IFS(A58&lt;=25,"18-25",A58&lt;=33,"26-33",A58&lt;=41,"34-41",A58&lt;=49,"42-49",A58&gt;49,"50 or above")</f>
        <v>18-25</v>
      </c>
      <c r="C58" t="s">
        <v>62</v>
      </c>
      <c r="D58" t="s">
        <v>105</v>
      </c>
      <c r="E58" t="s">
        <v>109</v>
      </c>
      <c r="F58" t="s">
        <v>90</v>
      </c>
      <c r="G58" t="s">
        <v>66</v>
      </c>
      <c r="H58" t="s">
        <v>66</v>
      </c>
      <c r="I58">
        <v>1</v>
      </c>
      <c r="K58" t="s">
        <v>93</v>
      </c>
      <c r="L58" t="s">
        <v>69</v>
      </c>
      <c r="P58" t="s">
        <v>67</v>
      </c>
      <c r="Q58" t="s">
        <v>117</v>
      </c>
      <c r="R58" t="s">
        <v>94</v>
      </c>
      <c r="S58" t="s">
        <v>95</v>
      </c>
      <c r="T58" t="s">
        <v>73</v>
      </c>
      <c r="U58" t="s">
        <v>74</v>
      </c>
      <c r="Z58" t="s">
        <v>81</v>
      </c>
      <c r="AA58" t="s">
        <v>80</v>
      </c>
      <c r="AB58" t="s">
        <v>81</v>
      </c>
      <c r="AC58" t="s">
        <v>81</v>
      </c>
      <c r="AD58" t="s">
        <v>80</v>
      </c>
      <c r="AE58" t="s">
        <v>81</v>
      </c>
      <c r="AF58" t="s">
        <v>81</v>
      </c>
      <c r="AG58" t="s">
        <v>81</v>
      </c>
      <c r="AH58" t="s">
        <v>81</v>
      </c>
      <c r="AI58" t="s">
        <v>81</v>
      </c>
      <c r="AJ58">
        <v>3</v>
      </c>
      <c r="AK58">
        <v>3</v>
      </c>
      <c r="AL58">
        <v>3</v>
      </c>
      <c r="AM58" t="s">
        <v>104</v>
      </c>
    </row>
    <row r="59" spans="1:47" x14ac:dyDescent="0.35">
      <c r="A59">
        <v>22</v>
      </c>
      <c r="B59" t="str" cm="1">
        <f t="array" ref="B59">_xlfn.IFS(A59&lt;=25,"18-25",A59&lt;=33,"26-33",A59&lt;=41,"34-41",A59&lt;=49,"42-49",A59&gt;49,"50 or above")</f>
        <v>18-25</v>
      </c>
      <c r="C59" t="s">
        <v>62</v>
      </c>
      <c r="D59" t="s">
        <v>63</v>
      </c>
      <c r="E59" t="s">
        <v>64</v>
      </c>
      <c r="F59" t="s">
        <v>65</v>
      </c>
      <c r="G59" t="s">
        <v>66</v>
      </c>
      <c r="H59" t="s">
        <v>66</v>
      </c>
      <c r="I59">
        <v>1</v>
      </c>
      <c r="J59" t="s">
        <v>67</v>
      </c>
      <c r="P59" t="s">
        <v>67</v>
      </c>
      <c r="Q59" t="s">
        <v>70</v>
      </c>
      <c r="R59" t="s">
        <v>110</v>
      </c>
      <c r="S59" t="s">
        <v>72</v>
      </c>
      <c r="T59" t="s">
        <v>73</v>
      </c>
      <c r="U59" t="s">
        <v>74</v>
      </c>
      <c r="W59" t="s">
        <v>76</v>
      </c>
      <c r="X59" t="s">
        <v>77</v>
      </c>
      <c r="Z59" t="s">
        <v>80</v>
      </c>
      <c r="AA59" t="s">
        <v>80</v>
      </c>
      <c r="AB59" t="s">
        <v>80</v>
      </c>
      <c r="AC59" t="s">
        <v>80</v>
      </c>
      <c r="AD59" t="s">
        <v>80</v>
      </c>
      <c r="AE59" t="s">
        <v>80</v>
      </c>
      <c r="AF59" t="s">
        <v>80</v>
      </c>
      <c r="AG59" t="s">
        <v>80</v>
      </c>
      <c r="AH59" t="s">
        <v>80</v>
      </c>
      <c r="AI59" t="s">
        <v>80</v>
      </c>
      <c r="AJ59">
        <v>5</v>
      </c>
      <c r="AK59">
        <v>4</v>
      </c>
      <c r="AL59">
        <v>4</v>
      </c>
      <c r="AM59" t="s">
        <v>133</v>
      </c>
    </row>
    <row r="60" spans="1:47" x14ac:dyDescent="0.35">
      <c r="A60">
        <v>25</v>
      </c>
      <c r="B60" t="str" cm="1">
        <f t="array" ref="B60">_xlfn.IFS(A60&lt;=25,"18-25",A60&lt;=33,"26-33",A60&lt;=41,"34-41",A60&lt;=49,"42-49",A60&gt;49,"50 or above")</f>
        <v>18-25</v>
      </c>
      <c r="C60" t="s">
        <v>89</v>
      </c>
      <c r="D60" t="s">
        <v>105</v>
      </c>
      <c r="E60" t="s">
        <v>64</v>
      </c>
      <c r="F60" t="s">
        <v>102</v>
      </c>
      <c r="G60" t="s">
        <v>66</v>
      </c>
      <c r="H60" t="s">
        <v>66</v>
      </c>
      <c r="I60">
        <v>1</v>
      </c>
      <c r="L60" t="s">
        <v>91</v>
      </c>
      <c r="P60" t="s">
        <v>91</v>
      </c>
      <c r="Q60" t="s">
        <v>70</v>
      </c>
      <c r="R60" t="s">
        <v>110</v>
      </c>
      <c r="S60" t="s">
        <v>95</v>
      </c>
      <c r="T60" t="s">
        <v>99</v>
      </c>
      <c r="V60" t="s">
        <v>96</v>
      </c>
      <c r="W60" t="s">
        <v>76</v>
      </c>
      <c r="X60" t="s">
        <v>132</v>
      </c>
      <c r="Z60" t="s">
        <v>80</v>
      </c>
      <c r="AA60" t="s">
        <v>80</v>
      </c>
      <c r="AB60" t="s">
        <v>80</v>
      </c>
      <c r="AC60" t="s">
        <v>80</v>
      </c>
      <c r="AD60" t="s">
        <v>80</v>
      </c>
      <c r="AE60" t="s">
        <v>80</v>
      </c>
      <c r="AF60" t="s">
        <v>80</v>
      </c>
      <c r="AG60" t="s">
        <v>80</v>
      </c>
      <c r="AH60" t="s">
        <v>80</v>
      </c>
      <c r="AI60" t="s">
        <v>80</v>
      </c>
      <c r="AJ60">
        <v>5</v>
      </c>
      <c r="AK60">
        <v>4</v>
      </c>
      <c r="AL60">
        <v>4</v>
      </c>
      <c r="AM60" t="s">
        <v>97</v>
      </c>
    </row>
    <row r="61" spans="1:47" x14ac:dyDescent="0.35">
      <c r="A61">
        <v>31</v>
      </c>
      <c r="B61" t="str" cm="1">
        <f t="array" ref="B61">_xlfn.IFS(A61&lt;=25,"18-25",A61&lt;=33,"26-33",A61&lt;=41,"34-41",A61&lt;=49,"42-49",A61&gt;49,"50 or above")</f>
        <v>26-33</v>
      </c>
      <c r="C61" t="s">
        <v>89</v>
      </c>
      <c r="D61" t="s">
        <v>105</v>
      </c>
      <c r="E61" t="s">
        <v>86</v>
      </c>
      <c r="F61" t="s">
        <v>87</v>
      </c>
      <c r="G61" t="s">
        <v>66</v>
      </c>
      <c r="H61" t="s">
        <v>66</v>
      </c>
      <c r="I61">
        <v>1</v>
      </c>
      <c r="J61" t="s">
        <v>67</v>
      </c>
      <c r="K61" t="s">
        <v>68</v>
      </c>
      <c r="L61" t="s">
        <v>69</v>
      </c>
      <c r="P61" t="s">
        <v>67</v>
      </c>
      <c r="Q61" t="s">
        <v>98</v>
      </c>
      <c r="R61" t="s">
        <v>71</v>
      </c>
      <c r="S61" t="s">
        <v>72</v>
      </c>
      <c r="T61" t="s">
        <v>73</v>
      </c>
      <c r="U61" t="s">
        <v>74</v>
      </c>
      <c r="V61" t="s">
        <v>75</v>
      </c>
      <c r="W61" t="s">
        <v>76</v>
      </c>
      <c r="Z61" t="s">
        <v>78</v>
      </c>
      <c r="AA61" t="s">
        <v>80</v>
      </c>
      <c r="AB61" t="s">
        <v>78</v>
      </c>
      <c r="AC61" t="s">
        <v>81</v>
      </c>
      <c r="AD61" t="s">
        <v>81</v>
      </c>
      <c r="AE61" t="s">
        <v>80</v>
      </c>
      <c r="AF61" t="s">
        <v>80</v>
      </c>
      <c r="AG61" t="s">
        <v>80</v>
      </c>
      <c r="AH61" t="s">
        <v>78</v>
      </c>
      <c r="AI61" t="s">
        <v>80</v>
      </c>
      <c r="AJ61">
        <v>4</v>
      </c>
      <c r="AK61">
        <v>4</v>
      </c>
      <c r="AL61">
        <v>4</v>
      </c>
      <c r="AM61" t="s">
        <v>97</v>
      </c>
    </row>
    <row r="62" spans="1:47" x14ac:dyDescent="0.35">
      <c r="A62">
        <v>18</v>
      </c>
      <c r="B62" t="str" cm="1">
        <f t="array" ref="B62">_xlfn.IFS(A62&lt;=25,"18-25",A62&lt;=33,"26-33",A62&lt;=41,"34-41",A62&lt;=49,"42-49",A62&gt;49,"50 or above")</f>
        <v>18-25</v>
      </c>
      <c r="C62" t="s">
        <v>89</v>
      </c>
      <c r="D62" t="s">
        <v>119</v>
      </c>
      <c r="E62" t="s">
        <v>64</v>
      </c>
      <c r="F62" t="s">
        <v>127</v>
      </c>
      <c r="G62" t="s">
        <v>66</v>
      </c>
      <c r="H62" t="s">
        <v>66</v>
      </c>
      <c r="I62">
        <v>1</v>
      </c>
      <c r="J62" t="s">
        <v>67</v>
      </c>
      <c r="K62" t="s">
        <v>68</v>
      </c>
      <c r="L62" t="s">
        <v>69</v>
      </c>
      <c r="P62" t="s">
        <v>67</v>
      </c>
      <c r="Q62" t="s">
        <v>70</v>
      </c>
      <c r="R62" t="s">
        <v>94</v>
      </c>
      <c r="S62" t="s">
        <v>72</v>
      </c>
      <c r="T62" t="s">
        <v>73</v>
      </c>
      <c r="W62" t="s">
        <v>134</v>
      </c>
      <c r="Z62" t="s">
        <v>78</v>
      </c>
      <c r="AA62" t="s">
        <v>78</v>
      </c>
      <c r="AB62" t="s">
        <v>80</v>
      </c>
      <c r="AC62" t="s">
        <v>80</v>
      </c>
      <c r="AD62" t="s">
        <v>79</v>
      </c>
      <c r="AE62" t="s">
        <v>78</v>
      </c>
      <c r="AF62" t="s">
        <v>80</v>
      </c>
      <c r="AG62" t="s">
        <v>80</v>
      </c>
      <c r="AH62" t="s">
        <v>81</v>
      </c>
      <c r="AI62" t="s">
        <v>78</v>
      </c>
      <c r="AJ62">
        <v>4</v>
      </c>
      <c r="AK62">
        <v>5</v>
      </c>
      <c r="AL62">
        <v>5</v>
      </c>
      <c r="AM62" t="s">
        <v>82</v>
      </c>
      <c r="AQ62" t="s">
        <v>118</v>
      </c>
    </row>
    <row r="63" spans="1:47" x14ac:dyDescent="0.35">
      <c r="A63">
        <v>35</v>
      </c>
      <c r="B63" t="str" cm="1">
        <f t="array" ref="B63">_xlfn.IFS(A63&lt;=25,"18-25",A63&lt;=33,"26-33",A63&lt;=41,"34-41",A63&lt;=49,"42-49",A63&gt;49,"50 or above")</f>
        <v>34-41</v>
      </c>
      <c r="C63" t="s">
        <v>62</v>
      </c>
      <c r="D63" t="s">
        <v>116</v>
      </c>
      <c r="E63" t="s">
        <v>109</v>
      </c>
      <c r="F63" t="s">
        <v>65</v>
      </c>
      <c r="G63" t="s">
        <v>66</v>
      </c>
      <c r="H63" t="s">
        <v>66</v>
      </c>
      <c r="I63">
        <v>1</v>
      </c>
      <c r="J63" t="s">
        <v>67</v>
      </c>
      <c r="K63" t="s">
        <v>68</v>
      </c>
      <c r="P63" t="s">
        <v>67</v>
      </c>
      <c r="Q63" t="s">
        <v>98</v>
      </c>
      <c r="R63" t="s">
        <v>110</v>
      </c>
      <c r="S63" t="s">
        <v>95</v>
      </c>
      <c r="T63" t="s">
        <v>73</v>
      </c>
      <c r="U63" t="s">
        <v>74</v>
      </c>
      <c r="V63" t="s">
        <v>75</v>
      </c>
      <c r="W63" t="s">
        <v>76</v>
      </c>
      <c r="X63" t="s">
        <v>77</v>
      </c>
      <c r="Z63" t="s">
        <v>80</v>
      </c>
      <c r="AA63" t="s">
        <v>80</v>
      </c>
      <c r="AB63" t="s">
        <v>80</v>
      </c>
      <c r="AC63" t="s">
        <v>80</v>
      </c>
      <c r="AD63" t="s">
        <v>80</v>
      </c>
      <c r="AE63" t="s">
        <v>80</v>
      </c>
      <c r="AF63" t="s">
        <v>80</v>
      </c>
      <c r="AG63" t="s">
        <v>80</v>
      </c>
      <c r="AH63" t="s">
        <v>80</v>
      </c>
      <c r="AI63" t="s">
        <v>80</v>
      </c>
      <c r="AJ63">
        <v>5</v>
      </c>
      <c r="AK63">
        <v>4</v>
      </c>
      <c r="AL63">
        <v>5</v>
      </c>
      <c r="AM63" t="s">
        <v>115</v>
      </c>
    </row>
    <row r="64" spans="1:47" x14ac:dyDescent="0.35">
      <c r="A64">
        <v>35</v>
      </c>
      <c r="B64" t="str" cm="1">
        <f t="array" ref="B64">_xlfn.IFS(A64&lt;=25,"18-25",A64&lt;=33,"26-33",A64&lt;=41,"34-41",A64&lt;=49,"42-49",A64&gt;49,"50 or above")</f>
        <v>34-41</v>
      </c>
      <c r="C64" t="s">
        <v>62</v>
      </c>
      <c r="D64" t="s">
        <v>63</v>
      </c>
      <c r="E64" t="s">
        <v>86</v>
      </c>
      <c r="F64" t="s">
        <v>65</v>
      </c>
      <c r="G64" t="s">
        <v>66</v>
      </c>
      <c r="H64" t="s">
        <v>66</v>
      </c>
      <c r="I64">
        <v>1</v>
      </c>
      <c r="J64" t="s">
        <v>67</v>
      </c>
      <c r="K64" t="s">
        <v>68</v>
      </c>
      <c r="L64" t="s">
        <v>69</v>
      </c>
      <c r="M64" t="s">
        <v>132</v>
      </c>
      <c r="P64" t="s">
        <v>67</v>
      </c>
      <c r="Q64" t="s">
        <v>70</v>
      </c>
      <c r="R64" t="s">
        <v>71</v>
      </c>
      <c r="S64" t="s">
        <v>107</v>
      </c>
      <c r="T64" t="s">
        <v>73</v>
      </c>
      <c r="V64" t="s">
        <v>96</v>
      </c>
      <c r="W64" t="s">
        <v>76</v>
      </c>
      <c r="X64" t="s">
        <v>77</v>
      </c>
      <c r="Z64" t="s">
        <v>78</v>
      </c>
      <c r="AA64" t="s">
        <v>78</v>
      </c>
      <c r="AB64" t="s">
        <v>80</v>
      </c>
      <c r="AC64" t="s">
        <v>80</v>
      </c>
      <c r="AD64" t="s">
        <v>79</v>
      </c>
      <c r="AE64" t="s">
        <v>80</v>
      </c>
      <c r="AF64" t="s">
        <v>78</v>
      </c>
      <c r="AG64" t="s">
        <v>78</v>
      </c>
      <c r="AH64" t="s">
        <v>81</v>
      </c>
      <c r="AI64" t="s">
        <v>78</v>
      </c>
      <c r="AJ64">
        <v>5</v>
      </c>
      <c r="AK64">
        <v>5</v>
      </c>
      <c r="AL64">
        <v>4</v>
      </c>
      <c r="AM64" t="s">
        <v>133</v>
      </c>
      <c r="AQ64" t="s">
        <v>118</v>
      </c>
      <c r="AU64" t="s">
        <v>139</v>
      </c>
    </row>
    <row r="65" spans="1:48" x14ac:dyDescent="0.35">
      <c r="A65">
        <v>18</v>
      </c>
      <c r="B65" t="str" cm="1">
        <f t="array" ref="B65">_xlfn.IFS(A65&lt;=25,"18-25",A65&lt;=33,"26-33",A65&lt;=41,"34-41",A65&lt;=49,"42-49",A65&gt;49,"50 or above")</f>
        <v>18-25</v>
      </c>
      <c r="C65" t="s">
        <v>89</v>
      </c>
      <c r="D65" t="s">
        <v>63</v>
      </c>
      <c r="E65" t="s">
        <v>64</v>
      </c>
      <c r="F65" t="s">
        <v>65</v>
      </c>
      <c r="G65" t="s">
        <v>66</v>
      </c>
      <c r="H65" t="s">
        <v>66</v>
      </c>
      <c r="I65">
        <v>1</v>
      </c>
      <c r="J65" t="s">
        <v>67</v>
      </c>
      <c r="P65" t="s">
        <v>67</v>
      </c>
      <c r="Q65" t="s">
        <v>117</v>
      </c>
      <c r="R65" t="s">
        <v>92</v>
      </c>
      <c r="S65" t="s">
        <v>113</v>
      </c>
      <c r="T65" t="s">
        <v>99</v>
      </c>
      <c r="U65" t="s">
        <v>74</v>
      </c>
      <c r="Z65" t="s">
        <v>80</v>
      </c>
      <c r="AA65" t="s">
        <v>81</v>
      </c>
      <c r="AB65" t="s">
        <v>81</v>
      </c>
      <c r="AC65" t="s">
        <v>81</v>
      </c>
      <c r="AD65" t="s">
        <v>81</v>
      </c>
      <c r="AE65" t="s">
        <v>81</v>
      </c>
      <c r="AF65" t="s">
        <v>80</v>
      </c>
      <c r="AG65" t="s">
        <v>81</v>
      </c>
      <c r="AH65" t="s">
        <v>79</v>
      </c>
      <c r="AI65" t="s">
        <v>81</v>
      </c>
      <c r="AJ65">
        <v>4</v>
      </c>
      <c r="AK65">
        <v>4</v>
      </c>
      <c r="AL65">
        <v>4</v>
      </c>
      <c r="AM65" t="s">
        <v>115</v>
      </c>
    </row>
    <row r="66" spans="1:48" x14ac:dyDescent="0.35">
      <c r="A66">
        <v>18</v>
      </c>
      <c r="B66" t="str" cm="1">
        <f t="array" ref="B66">_xlfn.IFS(A66&lt;=25,"18-25",A66&lt;=33,"26-33",A66&lt;=41,"34-41",A66&lt;=49,"42-49",A66&gt;49,"50 or above")</f>
        <v>18-25</v>
      </c>
      <c r="C66" t="s">
        <v>89</v>
      </c>
      <c r="D66" t="s">
        <v>63</v>
      </c>
      <c r="E66" t="s">
        <v>64</v>
      </c>
      <c r="F66" t="s">
        <v>65</v>
      </c>
      <c r="G66" t="s">
        <v>66</v>
      </c>
      <c r="H66" t="s">
        <v>66</v>
      </c>
      <c r="I66">
        <v>1</v>
      </c>
      <c r="J66" t="s">
        <v>67</v>
      </c>
      <c r="K66" t="s">
        <v>68</v>
      </c>
      <c r="L66" t="s">
        <v>69</v>
      </c>
      <c r="P66" t="s">
        <v>93</v>
      </c>
      <c r="Q66" t="s">
        <v>70</v>
      </c>
      <c r="R66" t="s">
        <v>92</v>
      </c>
      <c r="S66" t="s">
        <v>72</v>
      </c>
      <c r="T66" t="s">
        <v>73</v>
      </c>
      <c r="U66" t="s">
        <v>74</v>
      </c>
      <c r="V66" t="s">
        <v>75</v>
      </c>
      <c r="Z66" t="s">
        <v>78</v>
      </c>
      <c r="AA66" t="s">
        <v>78</v>
      </c>
      <c r="AB66" t="s">
        <v>78</v>
      </c>
      <c r="AC66" t="s">
        <v>78</v>
      </c>
      <c r="AD66" t="s">
        <v>80</v>
      </c>
      <c r="AE66" t="s">
        <v>78</v>
      </c>
      <c r="AF66" t="s">
        <v>78</v>
      </c>
      <c r="AG66" t="s">
        <v>78</v>
      </c>
      <c r="AH66" t="s">
        <v>81</v>
      </c>
      <c r="AI66" t="s">
        <v>81</v>
      </c>
      <c r="AJ66">
        <v>4</v>
      </c>
      <c r="AK66">
        <v>4</v>
      </c>
      <c r="AL66">
        <v>4</v>
      </c>
      <c r="AM66" t="s">
        <v>104</v>
      </c>
    </row>
    <row r="67" spans="1:48" x14ac:dyDescent="0.35">
      <c r="A67">
        <v>31</v>
      </c>
      <c r="B67" t="str" cm="1">
        <f t="array" ref="B67">_xlfn.IFS(A67&lt;=25,"18-25",A67&lt;=33,"26-33",A67&lt;=41,"34-41",A67&lt;=49,"42-49",A67&gt;49,"50 or above")</f>
        <v>26-33</v>
      </c>
      <c r="C67" t="s">
        <v>62</v>
      </c>
      <c r="D67" t="s">
        <v>116</v>
      </c>
      <c r="E67" t="s">
        <v>109</v>
      </c>
      <c r="F67" t="s">
        <v>90</v>
      </c>
      <c r="G67" t="s">
        <v>66</v>
      </c>
      <c r="H67" t="s">
        <v>66</v>
      </c>
      <c r="I67">
        <v>1</v>
      </c>
      <c r="L67" t="s">
        <v>91</v>
      </c>
      <c r="P67" t="s">
        <v>93</v>
      </c>
      <c r="Q67" t="s">
        <v>103</v>
      </c>
      <c r="R67" t="s">
        <v>71</v>
      </c>
      <c r="S67" t="s">
        <v>95</v>
      </c>
      <c r="T67" t="s">
        <v>140</v>
      </c>
      <c r="V67" t="s">
        <v>96</v>
      </c>
      <c r="Z67" t="s">
        <v>80</v>
      </c>
      <c r="AA67" t="s">
        <v>81</v>
      </c>
      <c r="AB67" t="s">
        <v>80</v>
      </c>
      <c r="AC67" t="s">
        <v>81</v>
      </c>
      <c r="AD67" t="s">
        <v>78</v>
      </c>
      <c r="AE67" t="s">
        <v>81</v>
      </c>
      <c r="AF67" t="s">
        <v>81</v>
      </c>
      <c r="AG67" t="s">
        <v>81</v>
      </c>
      <c r="AH67" t="s">
        <v>78</v>
      </c>
      <c r="AI67" t="s">
        <v>81</v>
      </c>
      <c r="AJ67">
        <v>3</v>
      </c>
      <c r="AK67">
        <v>4</v>
      </c>
      <c r="AL67">
        <v>2</v>
      </c>
      <c r="AM67" t="s">
        <v>115</v>
      </c>
    </row>
    <row r="68" spans="1:48" x14ac:dyDescent="0.35">
      <c r="A68">
        <v>59</v>
      </c>
      <c r="B68" t="str" cm="1">
        <f t="array" ref="B68">_xlfn.IFS(A68&lt;=25,"18-25",A68&lt;=33,"26-33",A68&lt;=41,"34-41",A68&lt;=49,"42-49",A68&gt;49,"50 or above")</f>
        <v>50 or above</v>
      </c>
      <c r="C68" t="s">
        <v>89</v>
      </c>
      <c r="D68" t="s">
        <v>63</v>
      </c>
      <c r="E68" t="s">
        <v>121</v>
      </c>
      <c r="F68" t="s">
        <v>87</v>
      </c>
      <c r="G68" t="s">
        <v>66</v>
      </c>
      <c r="H68" t="s">
        <v>66</v>
      </c>
      <c r="I68">
        <v>1</v>
      </c>
      <c r="J68" t="s">
        <v>67</v>
      </c>
      <c r="K68" t="s">
        <v>68</v>
      </c>
      <c r="L68" t="s">
        <v>69</v>
      </c>
      <c r="P68" t="s">
        <v>67</v>
      </c>
      <c r="Q68" t="s">
        <v>103</v>
      </c>
      <c r="R68" t="s">
        <v>71</v>
      </c>
      <c r="S68" t="s">
        <v>113</v>
      </c>
      <c r="T68" t="s">
        <v>112</v>
      </c>
      <c r="U68" t="s">
        <v>74</v>
      </c>
      <c r="Z68" t="s">
        <v>80</v>
      </c>
      <c r="AA68" t="s">
        <v>81</v>
      </c>
      <c r="AB68" t="s">
        <v>81</v>
      </c>
      <c r="AC68" t="s">
        <v>79</v>
      </c>
      <c r="AD68" t="s">
        <v>79</v>
      </c>
      <c r="AE68" t="s">
        <v>81</v>
      </c>
      <c r="AF68" t="s">
        <v>79</v>
      </c>
      <c r="AG68" t="s">
        <v>79</v>
      </c>
      <c r="AH68" t="s">
        <v>81</v>
      </c>
      <c r="AI68" t="s">
        <v>79</v>
      </c>
      <c r="AJ68">
        <v>4</v>
      </c>
      <c r="AK68">
        <v>4</v>
      </c>
      <c r="AL68">
        <v>3</v>
      </c>
      <c r="AM68" t="s">
        <v>97</v>
      </c>
    </row>
    <row r="69" spans="1:48" x14ac:dyDescent="0.35">
      <c r="A69">
        <v>30</v>
      </c>
      <c r="B69" t="str" cm="1">
        <f t="array" ref="B69">_xlfn.IFS(A69&lt;=25,"18-25",A69&lt;=33,"26-33",A69&lt;=41,"34-41",A69&lt;=49,"42-49",A69&gt;49,"50 or above")</f>
        <v>26-33</v>
      </c>
      <c r="C69" t="s">
        <v>89</v>
      </c>
      <c r="D69" t="s">
        <v>63</v>
      </c>
      <c r="E69" t="s">
        <v>109</v>
      </c>
      <c r="F69" t="s">
        <v>90</v>
      </c>
      <c r="G69" t="s">
        <v>66</v>
      </c>
      <c r="H69" t="s">
        <v>66</v>
      </c>
      <c r="I69">
        <v>1</v>
      </c>
      <c r="J69" t="s">
        <v>67</v>
      </c>
      <c r="K69" t="s">
        <v>68</v>
      </c>
      <c r="L69" t="s">
        <v>69</v>
      </c>
      <c r="P69" t="s">
        <v>93</v>
      </c>
      <c r="Q69" t="s">
        <v>70</v>
      </c>
      <c r="R69" t="s">
        <v>92</v>
      </c>
      <c r="S69" t="s">
        <v>72</v>
      </c>
      <c r="T69" t="s">
        <v>99</v>
      </c>
      <c r="U69" t="s">
        <v>74</v>
      </c>
      <c r="Z69" t="s">
        <v>80</v>
      </c>
      <c r="AA69" t="s">
        <v>81</v>
      </c>
      <c r="AB69" t="s">
        <v>81</v>
      </c>
      <c r="AC69" t="s">
        <v>81</v>
      </c>
      <c r="AD69" t="s">
        <v>81</v>
      </c>
      <c r="AE69" t="s">
        <v>80</v>
      </c>
      <c r="AF69" t="s">
        <v>80</v>
      </c>
      <c r="AG69" t="s">
        <v>80</v>
      </c>
      <c r="AH69" t="s">
        <v>81</v>
      </c>
      <c r="AI69" t="s">
        <v>81</v>
      </c>
      <c r="AJ69">
        <v>4</v>
      </c>
      <c r="AK69">
        <v>4</v>
      </c>
      <c r="AL69">
        <v>4</v>
      </c>
      <c r="AM69" t="s">
        <v>82</v>
      </c>
    </row>
    <row r="70" spans="1:48" x14ac:dyDescent="0.35">
      <c r="A70">
        <v>50</v>
      </c>
      <c r="B70" t="str" cm="1">
        <f t="array" ref="B70">_xlfn.IFS(A70&lt;=25,"18-25",A70&lt;=33,"26-33",A70&lt;=41,"34-41",A70&lt;=49,"42-49",A70&gt;49,"50 or above")</f>
        <v>50 or above</v>
      </c>
      <c r="C70" t="s">
        <v>62</v>
      </c>
      <c r="D70" t="s">
        <v>116</v>
      </c>
      <c r="E70" t="s">
        <v>86</v>
      </c>
      <c r="F70" t="s">
        <v>65</v>
      </c>
      <c r="G70" t="s">
        <v>66</v>
      </c>
      <c r="H70" t="s">
        <v>66</v>
      </c>
      <c r="I70">
        <v>1</v>
      </c>
      <c r="J70" t="s">
        <v>67</v>
      </c>
      <c r="K70" t="s">
        <v>68</v>
      </c>
      <c r="L70" t="s">
        <v>69</v>
      </c>
      <c r="P70" t="s">
        <v>93</v>
      </c>
      <c r="Q70" t="s">
        <v>70</v>
      </c>
      <c r="R70" t="s">
        <v>110</v>
      </c>
      <c r="S70" t="s">
        <v>95</v>
      </c>
      <c r="T70" t="s">
        <v>73</v>
      </c>
      <c r="U70" t="s">
        <v>74</v>
      </c>
      <c r="V70" t="s">
        <v>75</v>
      </c>
      <c r="W70" t="s">
        <v>76</v>
      </c>
      <c r="X70" t="s">
        <v>77</v>
      </c>
      <c r="Y70" t="s">
        <v>108</v>
      </c>
      <c r="Z70" t="s">
        <v>80</v>
      </c>
      <c r="AA70" t="s">
        <v>81</v>
      </c>
      <c r="AB70" t="s">
        <v>80</v>
      </c>
      <c r="AC70" t="s">
        <v>80</v>
      </c>
      <c r="AD70" t="s">
        <v>80</v>
      </c>
      <c r="AE70" t="s">
        <v>80</v>
      </c>
      <c r="AF70" t="s">
        <v>80</v>
      </c>
      <c r="AG70" t="s">
        <v>80</v>
      </c>
      <c r="AH70" t="s">
        <v>80</v>
      </c>
      <c r="AI70" t="s">
        <v>80</v>
      </c>
      <c r="AJ70">
        <v>5</v>
      </c>
      <c r="AK70">
        <v>5</v>
      </c>
      <c r="AL70">
        <v>5</v>
      </c>
      <c r="AM70" t="s">
        <v>104</v>
      </c>
      <c r="AN70" t="s">
        <v>141</v>
      </c>
      <c r="AO70" t="s">
        <v>84</v>
      </c>
      <c r="AQ70" t="s">
        <v>118</v>
      </c>
      <c r="AR70" t="s">
        <v>124</v>
      </c>
      <c r="AV70" t="s">
        <v>142</v>
      </c>
    </row>
    <row r="71" spans="1:48" x14ac:dyDescent="0.35">
      <c r="A71">
        <v>50</v>
      </c>
      <c r="B71" t="str" cm="1">
        <f t="array" ref="B71">_xlfn.IFS(A71&lt;=25,"18-25",A71&lt;=33,"26-33",A71&lt;=41,"34-41",A71&lt;=49,"42-49",A71&gt;49,"50 or above")</f>
        <v>50 or above</v>
      </c>
      <c r="C71" t="s">
        <v>129</v>
      </c>
      <c r="D71" t="s">
        <v>116</v>
      </c>
      <c r="E71" t="s">
        <v>86</v>
      </c>
      <c r="F71" t="s">
        <v>65</v>
      </c>
      <c r="G71" t="s">
        <v>66</v>
      </c>
      <c r="H71" t="s">
        <v>66</v>
      </c>
      <c r="I71">
        <v>1</v>
      </c>
      <c r="J71" t="s">
        <v>67</v>
      </c>
      <c r="L71" t="s">
        <v>69</v>
      </c>
      <c r="P71" t="s">
        <v>67</v>
      </c>
      <c r="Q71" t="s">
        <v>70</v>
      </c>
      <c r="R71" t="s">
        <v>92</v>
      </c>
      <c r="S71" t="s">
        <v>95</v>
      </c>
      <c r="T71" t="s">
        <v>73</v>
      </c>
      <c r="U71" t="s">
        <v>74</v>
      </c>
      <c r="V71" t="s">
        <v>75</v>
      </c>
      <c r="W71" t="s">
        <v>76</v>
      </c>
      <c r="Z71" t="s">
        <v>78</v>
      </c>
      <c r="AA71" t="s">
        <v>80</v>
      </c>
      <c r="AB71" t="s">
        <v>81</v>
      </c>
      <c r="AC71" t="s">
        <v>80</v>
      </c>
      <c r="AD71" t="s">
        <v>81</v>
      </c>
      <c r="AE71" t="s">
        <v>78</v>
      </c>
      <c r="AF71" t="s">
        <v>78</v>
      </c>
      <c r="AG71" t="s">
        <v>80</v>
      </c>
      <c r="AH71" t="s">
        <v>78</v>
      </c>
      <c r="AI71" t="s">
        <v>78</v>
      </c>
      <c r="AJ71">
        <v>4</v>
      </c>
      <c r="AK71">
        <v>5</v>
      </c>
      <c r="AL71">
        <v>5</v>
      </c>
      <c r="AM71" t="s">
        <v>82</v>
      </c>
    </row>
    <row r="72" spans="1:48" x14ac:dyDescent="0.35">
      <c r="A72">
        <v>35</v>
      </c>
      <c r="B72" t="str" cm="1">
        <f t="array" ref="B72">_xlfn.IFS(A72&lt;=25,"18-25",A72&lt;=33,"26-33",A72&lt;=41,"34-41",A72&lt;=49,"42-49",A72&gt;49,"50 or above")</f>
        <v>34-41</v>
      </c>
      <c r="C72" t="s">
        <v>62</v>
      </c>
      <c r="D72" t="s">
        <v>105</v>
      </c>
      <c r="E72" t="s">
        <v>109</v>
      </c>
      <c r="F72" t="s">
        <v>102</v>
      </c>
      <c r="G72" t="s">
        <v>66</v>
      </c>
      <c r="H72" t="s">
        <v>66</v>
      </c>
      <c r="I72">
        <v>1</v>
      </c>
      <c r="J72" t="s">
        <v>67</v>
      </c>
      <c r="L72" t="s">
        <v>69</v>
      </c>
      <c r="P72" t="s">
        <v>91</v>
      </c>
      <c r="Q72" t="s">
        <v>103</v>
      </c>
      <c r="R72" t="s">
        <v>110</v>
      </c>
      <c r="S72" t="s">
        <v>72</v>
      </c>
      <c r="T72" t="s">
        <v>99</v>
      </c>
      <c r="U72" t="s">
        <v>74</v>
      </c>
      <c r="V72" t="s">
        <v>75</v>
      </c>
      <c r="Z72" t="s">
        <v>80</v>
      </c>
      <c r="AA72" t="s">
        <v>78</v>
      </c>
      <c r="AB72" t="s">
        <v>80</v>
      </c>
      <c r="AC72" t="s">
        <v>81</v>
      </c>
      <c r="AD72" t="s">
        <v>79</v>
      </c>
      <c r="AE72" t="s">
        <v>80</v>
      </c>
      <c r="AF72" t="s">
        <v>78</v>
      </c>
      <c r="AG72" t="s">
        <v>80</v>
      </c>
      <c r="AH72" t="s">
        <v>80</v>
      </c>
      <c r="AI72" t="s">
        <v>80</v>
      </c>
      <c r="AJ72">
        <v>4</v>
      </c>
      <c r="AK72">
        <v>4</v>
      </c>
      <c r="AL72">
        <v>5</v>
      </c>
      <c r="AM72" t="s">
        <v>115</v>
      </c>
      <c r="AO72" t="s">
        <v>84</v>
      </c>
      <c r="AP72" t="s">
        <v>85</v>
      </c>
      <c r="AQ72" t="s">
        <v>118</v>
      </c>
      <c r="AS72" t="s">
        <v>137</v>
      </c>
    </row>
    <row r="73" spans="1:48" x14ac:dyDescent="0.35">
      <c r="A73">
        <v>44</v>
      </c>
      <c r="B73" t="str" cm="1">
        <f t="array" ref="B73">_xlfn.IFS(A73&lt;=25,"18-25",A73&lt;=33,"26-33",A73&lt;=41,"34-41",A73&lt;=49,"42-49",A73&gt;49,"50 or above")</f>
        <v>42-49</v>
      </c>
      <c r="C73" t="s">
        <v>62</v>
      </c>
      <c r="D73" t="s">
        <v>116</v>
      </c>
      <c r="E73" t="s">
        <v>86</v>
      </c>
      <c r="F73" t="s">
        <v>65</v>
      </c>
      <c r="G73" t="s">
        <v>66</v>
      </c>
      <c r="H73" t="s">
        <v>66</v>
      </c>
      <c r="I73">
        <v>1</v>
      </c>
      <c r="K73" t="s">
        <v>93</v>
      </c>
      <c r="L73" t="s">
        <v>69</v>
      </c>
      <c r="P73" t="s">
        <v>91</v>
      </c>
      <c r="Q73" t="s">
        <v>70</v>
      </c>
      <c r="R73" t="s">
        <v>110</v>
      </c>
      <c r="S73" t="s">
        <v>72</v>
      </c>
      <c r="T73" t="s">
        <v>73</v>
      </c>
      <c r="V73" t="s">
        <v>96</v>
      </c>
      <c r="W73" t="s">
        <v>76</v>
      </c>
      <c r="Y73" t="s">
        <v>108</v>
      </c>
      <c r="Z73" t="s">
        <v>78</v>
      </c>
      <c r="AA73" t="s">
        <v>80</v>
      </c>
      <c r="AB73" t="s">
        <v>78</v>
      </c>
      <c r="AC73" t="s">
        <v>80</v>
      </c>
      <c r="AD73" t="s">
        <v>78</v>
      </c>
      <c r="AE73" t="s">
        <v>78</v>
      </c>
      <c r="AF73" t="s">
        <v>80</v>
      </c>
      <c r="AG73" t="s">
        <v>80</v>
      </c>
      <c r="AH73" t="s">
        <v>78</v>
      </c>
      <c r="AI73" t="s">
        <v>80</v>
      </c>
      <c r="AJ73">
        <v>4</v>
      </c>
      <c r="AK73">
        <v>4</v>
      </c>
      <c r="AL73">
        <v>5</v>
      </c>
      <c r="AM73" t="s">
        <v>146</v>
      </c>
    </row>
    <row r="74" spans="1:48" x14ac:dyDescent="0.35">
      <c r="A74">
        <v>48</v>
      </c>
      <c r="B74" t="str" cm="1">
        <f t="array" ref="B74">_xlfn.IFS(A74&lt;=25,"18-25",A74&lt;=33,"26-33",A74&lt;=41,"34-41",A74&lt;=49,"42-49",A74&gt;49,"50 or above")</f>
        <v>42-49</v>
      </c>
      <c r="C74" t="s">
        <v>89</v>
      </c>
      <c r="D74" t="s">
        <v>63</v>
      </c>
      <c r="E74" t="s">
        <v>121</v>
      </c>
      <c r="F74" t="s">
        <v>65</v>
      </c>
      <c r="G74" t="s">
        <v>66</v>
      </c>
      <c r="H74" t="s">
        <v>66</v>
      </c>
      <c r="I74">
        <v>1</v>
      </c>
      <c r="K74" t="s">
        <v>93</v>
      </c>
      <c r="P74" t="s">
        <v>93</v>
      </c>
      <c r="Q74" t="s">
        <v>103</v>
      </c>
      <c r="R74" t="s">
        <v>94</v>
      </c>
      <c r="S74" t="s">
        <v>113</v>
      </c>
      <c r="T74" t="s">
        <v>99</v>
      </c>
      <c r="U74" t="s">
        <v>74</v>
      </c>
      <c r="V74" t="s">
        <v>75</v>
      </c>
      <c r="Z74" t="s">
        <v>80</v>
      </c>
      <c r="AA74" t="s">
        <v>80</v>
      </c>
      <c r="AB74" t="s">
        <v>78</v>
      </c>
      <c r="AC74" t="s">
        <v>78</v>
      </c>
      <c r="AD74" t="s">
        <v>78</v>
      </c>
      <c r="AE74" t="s">
        <v>81</v>
      </c>
      <c r="AF74" t="s">
        <v>80</v>
      </c>
      <c r="AG74" t="s">
        <v>81</v>
      </c>
      <c r="AH74" t="s">
        <v>79</v>
      </c>
      <c r="AI74" t="s">
        <v>101</v>
      </c>
      <c r="AJ74">
        <v>4</v>
      </c>
      <c r="AK74">
        <v>5</v>
      </c>
      <c r="AL74">
        <v>3</v>
      </c>
      <c r="AM74" t="s">
        <v>133</v>
      </c>
      <c r="AP74" t="s">
        <v>85</v>
      </c>
      <c r="AQ74" t="s">
        <v>118</v>
      </c>
      <c r="AS74" t="s">
        <v>137</v>
      </c>
    </row>
    <row r="75" spans="1:48" x14ac:dyDescent="0.35">
      <c r="A75">
        <v>43</v>
      </c>
      <c r="B75" t="str" cm="1">
        <f t="array" ref="B75">_xlfn.IFS(A75&lt;=25,"18-25",A75&lt;=33,"26-33",A75&lt;=41,"34-41",A75&lt;=49,"42-49",A75&gt;49,"50 or above")</f>
        <v>42-49</v>
      </c>
      <c r="C75" t="s">
        <v>89</v>
      </c>
      <c r="D75" t="s">
        <v>119</v>
      </c>
      <c r="E75" t="s">
        <v>121</v>
      </c>
      <c r="F75" t="s">
        <v>102</v>
      </c>
      <c r="G75" t="s">
        <v>66</v>
      </c>
      <c r="H75" t="s">
        <v>66</v>
      </c>
      <c r="I75">
        <v>1</v>
      </c>
      <c r="M75" t="s">
        <v>111</v>
      </c>
      <c r="P75" t="s">
        <v>111</v>
      </c>
      <c r="Q75" t="s">
        <v>117</v>
      </c>
      <c r="R75" t="s">
        <v>92</v>
      </c>
      <c r="S75" t="s">
        <v>113</v>
      </c>
      <c r="T75" t="s">
        <v>99</v>
      </c>
      <c r="U75" t="s">
        <v>74</v>
      </c>
      <c r="Z75" t="s">
        <v>78</v>
      </c>
      <c r="AA75" t="s">
        <v>80</v>
      </c>
      <c r="AB75" t="s">
        <v>81</v>
      </c>
      <c r="AC75" t="s">
        <v>80</v>
      </c>
      <c r="AD75" t="s">
        <v>78</v>
      </c>
      <c r="AE75" t="s">
        <v>80</v>
      </c>
      <c r="AF75" t="s">
        <v>81</v>
      </c>
      <c r="AG75" t="s">
        <v>80</v>
      </c>
      <c r="AH75" t="s">
        <v>78</v>
      </c>
      <c r="AI75" t="s">
        <v>81</v>
      </c>
      <c r="AJ75">
        <v>3</v>
      </c>
      <c r="AK75">
        <v>4</v>
      </c>
      <c r="AL75">
        <v>4</v>
      </c>
      <c r="AM75" t="s">
        <v>104</v>
      </c>
    </row>
    <row r="76" spans="1:48" x14ac:dyDescent="0.35">
      <c r="A76">
        <v>47</v>
      </c>
      <c r="B76" t="str" cm="1">
        <f t="array" ref="B76">_xlfn.IFS(A76&lt;=25,"18-25",A76&lt;=33,"26-33",A76&lt;=41,"34-41",A76&lt;=49,"42-49",A76&gt;49,"50 or above")</f>
        <v>42-49</v>
      </c>
      <c r="C76" t="s">
        <v>89</v>
      </c>
      <c r="D76" t="s">
        <v>116</v>
      </c>
      <c r="E76" t="s">
        <v>86</v>
      </c>
      <c r="F76" t="s">
        <v>102</v>
      </c>
      <c r="G76" t="s">
        <v>66</v>
      </c>
      <c r="H76" t="s">
        <v>66</v>
      </c>
      <c r="I76">
        <v>1</v>
      </c>
      <c r="J76" t="s">
        <v>67</v>
      </c>
      <c r="M76" t="s">
        <v>114</v>
      </c>
      <c r="P76" t="s">
        <v>67</v>
      </c>
      <c r="Q76" t="s">
        <v>70</v>
      </c>
      <c r="R76" t="s">
        <v>92</v>
      </c>
      <c r="S76" t="s">
        <v>72</v>
      </c>
      <c r="T76" t="s">
        <v>73</v>
      </c>
      <c r="U76" t="s">
        <v>74</v>
      </c>
      <c r="V76" t="s">
        <v>75</v>
      </c>
      <c r="W76" t="s">
        <v>76</v>
      </c>
      <c r="X76" t="s">
        <v>77</v>
      </c>
      <c r="Z76" t="s">
        <v>78</v>
      </c>
      <c r="AA76" t="s">
        <v>78</v>
      </c>
      <c r="AB76" t="s">
        <v>78</v>
      </c>
      <c r="AC76" t="s">
        <v>78</v>
      </c>
      <c r="AD76" t="s">
        <v>78</v>
      </c>
      <c r="AE76" t="s">
        <v>78</v>
      </c>
      <c r="AF76" t="s">
        <v>78</v>
      </c>
      <c r="AG76" t="s">
        <v>80</v>
      </c>
      <c r="AH76" t="s">
        <v>78</v>
      </c>
      <c r="AI76" t="s">
        <v>78</v>
      </c>
      <c r="AJ76">
        <v>5</v>
      </c>
      <c r="AK76">
        <v>5</v>
      </c>
      <c r="AL76">
        <v>5</v>
      </c>
      <c r="AM76" t="s">
        <v>133</v>
      </c>
    </row>
    <row r="77" spans="1:48" x14ac:dyDescent="0.35">
      <c r="A77">
        <v>41</v>
      </c>
      <c r="B77" t="str" cm="1">
        <f t="array" ref="B77">_xlfn.IFS(A77&lt;=25,"18-25",A77&lt;=33,"26-33",A77&lt;=41,"34-41",A77&lt;=49,"42-49",A77&gt;49,"50 or above")</f>
        <v>34-41</v>
      </c>
      <c r="C77" t="s">
        <v>129</v>
      </c>
      <c r="D77" t="s">
        <v>105</v>
      </c>
      <c r="E77" t="s">
        <v>86</v>
      </c>
      <c r="F77" t="s">
        <v>102</v>
      </c>
      <c r="G77" t="s">
        <v>66</v>
      </c>
      <c r="H77" t="s">
        <v>66</v>
      </c>
      <c r="I77">
        <v>1</v>
      </c>
      <c r="J77" t="s">
        <v>67</v>
      </c>
      <c r="L77" t="s">
        <v>69</v>
      </c>
      <c r="P77" t="s">
        <v>67</v>
      </c>
      <c r="Q77" t="s">
        <v>98</v>
      </c>
      <c r="R77" t="s">
        <v>71</v>
      </c>
      <c r="S77" t="s">
        <v>95</v>
      </c>
      <c r="T77" t="s">
        <v>112</v>
      </c>
      <c r="W77" t="s">
        <v>134</v>
      </c>
      <c r="X77" t="s">
        <v>77</v>
      </c>
      <c r="Z77" t="s">
        <v>78</v>
      </c>
      <c r="AA77" t="s">
        <v>80</v>
      </c>
      <c r="AB77" t="s">
        <v>80</v>
      </c>
      <c r="AC77" t="s">
        <v>80</v>
      </c>
      <c r="AD77" t="s">
        <v>78</v>
      </c>
      <c r="AE77" t="s">
        <v>78</v>
      </c>
      <c r="AF77" t="s">
        <v>78</v>
      </c>
      <c r="AG77" t="s">
        <v>78</v>
      </c>
      <c r="AH77" t="s">
        <v>80</v>
      </c>
      <c r="AI77" t="s">
        <v>80</v>
      </c>
      <c r="AJ77">
        <v>4</v>
      </c>
      <c r="AK77">
        <v>5</v>
      </c>
      <c r="AL77">
        <v>5</v>
      </c>
      <c r="AM77" t="s">
        <v>128</v>
      </c>
    </row>
    <row r="78" spans="1:48" x14ac:dyDescent="0.35">
      <c r="A78">
        <v>32</v>
      </c>
      <c r="B78" t="str" cm="1">
        <f t="array" ref="B78">_xlfn.IFS(A78&lt;=25,"18-25",A78&lt;=33,"26-33",A78&lt;=41,"34-41",A78&lt;=49,"42-49",A78&gt;49,"50 or above")</f>
        <v>26-33</v>
      </c>
      <c r="C78" t="s">
        <v>89</v>
      </c>
      <c r="D78" t="s">
        <v>105</v>
      </c>
      <c r="E78" t="s">
        <v>109</v>
      </c>
      <c r="F78" t="s">
        <v>102</v>
      </c>
      <c r="G78" t="s">
        <v>66</v>
      </c>
      <c r="H78" t="s">
        <v>66</v>
      </c>
      <c r="I78">
        <v>1</v>
      </c>
      <c r="J78" t="s">
        <v>67</v>
      </c>
      <c r="K78" t="s">
        <v>68</v>
      </c>
      <c r="P78" t="s">
        <v>93</v>
      </c>
      <c r="Q78" t="s">
        <v>103</v>
      </c>
      <c r="R78" t="s">
        <v>92</v>
      </c>
      <c r="S78" t="s">
        <v>113</v>
      </c>
      <c r="T78" t="s">
        <v>99</v>
      </c>
      <c r="U78" t="s">
        <v>74</v>
      </c>
      <c r="W78" t="s">
        <v>76</v>
      </c>
      <c r="Y78" t="s">
        <v>108</v>
      </c>
      <c r="Z78" t="s">
        <v>80</v>
      </c>
      <c r="AA78" t="s">
        <v>78</v>
      </c>
      <c r="AB78" t="s">
        <v>80</v>
      </c>
      <c r="AC78" t="s">
        <v>80</v>
      </c>
      <c r="AD78" t="s">
        <v>81</v>
      </c>
      <c r="AE78" t="s">
        <v>81</v>
      </c>
      <c r="AF78" t="s">
        <v>80</v>
      </c>
      <c r="AG78" t="s">
        <v>79</v>
      </c>
      <c r="AH78" t="s">
        <v>80</v>
      </c>
      <c r="AI78" t="s">
        <v>80</v>
      </c>
      <c r="AJ78">
        <v>4</v>
      </c>
      <c r="AK78">
        <v>5</v>
      </c>
      <c r="AL78">
        <v>3</v>
      </c>
      <c r="AM78" t="s">
        <v>82</v>
      </c>
      <c r="AQ78" t="s">
        <v>118</v>
      </c>
      <c r="AV78" t="s">
        <v>142</v>
      </c>
    </row>
    <row r="79" spans="1:48" x14ac:dyDescent="0.35">
      <c r="A79">
        <v>45</v>
      </c>
      <c r="B79" t="str" cm="1">
        <f t="array" ref="B79">_xlfn.IFS(A79&lt;=25,"18-25",A79&lt;=33,"26-33",A79&lt;=41,"34-41",A79&lt;=49,"42-49",A79&gt;49,"50 or above")</f>
        <v>42-49</v>
      </c>
      <c r="C79" t="s">
        <v>89</v>
      </c>
      <c r="D79" t="s">
        <v>105</v>
      </c>
      <c r="E79" t="s">
        <v>121</v>
      </c>
      <c r="F79" t="s">
        <v>65</v>
      </c>
      <c r="G79" t="s">
        <v>66</v>
      </c>
      <c r="H79" t="s">
        <v>66</v>
      </c>
      <c r="I79">
        <v>1</v>
      </c>
      <c r="J79" t="s">
        <v>67</v>
      </c>
      <c r="K79" t="s">
        <v>68</v>
      </c>
      <c r="L79" t="s">
        <v>69</v>
      </c>
      <c r="P79" t="s">
        <v>67</v>
      </c>
      <c r="Q79" t="s">
        <v>70</v>
      </c>
      <c r="R79" t="s">
        <v>94</v>
      </c>
      <c r="S79" t="s">
        <v>107</v>
      </c>
      <c r="T79" t="s">
        <v>99</v>
      </c>
      <c r="U79" t="s">
        <v>74</v>
      </c>
      <c r="Z79" t="s">
        <v>81</v>
      </c>
      <c r="AA79" t="s">
        <v>81</v>
      </c>
      <c r="AB79" t="s">
        <v>81</v>
      </c>
      <c r="AC79" t="s">
        <v>81</v>
      </c>
      <c r="AD79" t="s">
        <v>81</v>
      </c>
      <c r="AE79" t="s">
        <v>81</v>
      </c>
      <c r="AF79" t="s">
        <v>81</v>
      </c>
      <c r="AG79" t="s">
        <v>81</v>
      </c>
      <c r="AH79" t="s">
        <v>81</v>
      </c>
      <c r="AI79" t="s">
        <v>81</v>
      </c>
      <c r="AJ79">
        <v>3</v>
      </c>
      <c r="AK79">
        <v>4</v>
      </c>
      <c r="AL79">
        <v>4</v>
      </c>
      <c r="AM79" t="s">
        <v>104</v>
      </c>
    </row>
    <row r="80" spans="1:48" x14ac:dyDescent="0.35">
      <c r="A80">
        <v>34</v>
      </c>
      <c r="B80" t="str" cm="1">
        <f t="array" ref="B80">_xlfn.IFS(A80&lt;=25,"18-25",A80&lt;=33,"26-33",A80&lt;=41,"34-41",A80&lt;=49,"42-49",A80&gt;49,"50 or above")</f>
        <v>34-41</v>
      </c>
      <c r="C80" t="s">
        <v>89</v>
      </c>
      <c r="D80" t="s">
        <v>116</v>
      </c>
      <c r="E80" t="s">
        <v>86</v>
      </c>
      <c r="F80" t="s">
        <v>65</v>
      </c>
      <c r="G80" t="s">
        <v>66</v>
      </c>
      <c r="H80" t="s">
        <v>66</v>
      </c>
      <c r="I80">
        <v>1</v>
      </c>
      <c r="J80" t="s">
        <v>67</v>
      </c>
      <c r="K80" t="s">
        <v>68</v>
      </c>
      <c r="L80" t="s">
        <v>69</v>
      </c>
      <c r="P80" t="s">
        <v>91</v>
      </c>
      <c r="Q80" t="s">
        <v>117</v>
      </c>
      <c r="R80" t="s">
        <v>94</v>
      </c>
      <c r="S80" t="s">
        <v>72</v>
      </c>
      <c r="T80" t="s">
        <v>73</v>
      </c>
      <c r="V80" t="s">
        <v>96</v>
      </c>
      <c r="Z80" t="s">
        <v>81</v>
      </c>
      <c r="AA80" t="s">
        <v>81</v>
      </c>
      <c r="AB80" t="s">
        <v>81</v>
      </c>
      <c r="AC80" t="s">
        <v>81</v>
      </c>
      <c r="AD80" t="s">
        <v>81</v>
      </c>
      <c r="AE80" t="s">
        <v>81</v>
      </c>
      <c r="AF80" t="s">
        <v>81</v>
      </c>
      <c r="AG80" t="s">
        <v>81</v>
      </c>
      <c r="AH80" t="s">
        <v>81</v>
      </c>
      <c r="AI80" t="s">
        <v>81</v>
      </c>
      <c r="AJ80">
        <v>3</v>
      </c>
      <c r="AK80">
        <v>3</v>
      </c>
      <c r="AL80">
        <v>3</v>
      </c>
      <c r="AM80" t="s">
        <v>82</v>
      </c>
    </row>
    <row r="81" spans="1:39" x14ac:dyDescent="0.35">
      <c r="A81">
        <v>40</v>
      </c>
      <c r="B81" t="str" cm="1">
        <f t="array" ref="B81">_xlfn.IFS(A81&lt;=25,"18-25",A81&lt;=33,"26-33",A81&lt;=41,"34-41",A81&lt;=49,"42-49",A81&gt;49,"50 or above")</f>
        <v>34-41</v>
      </c>
      <c r="C81" t="s">
        <v>89</v>
      </c>
      <c r="D81" t="s">
        <v>63</v>
      </c>
      <c r="E81" t="s">
        <v>121</v>
      </c>
      <c r="F81" t="s">
        <v>65</v>
      </c>
      <c r="G81" t="s">
        <v>66</v>
      </c>
      <c r="H81" t="s">
        <v>66</v>
      </c>
      <c r="I81">
        <v>1</v>
      </c>
      <c r="J81" t="s">
        <v>67</v>
      </c>
      <c r="K81" t="s">
        <v>68</v>
      </c>
      <c r="L81" t="s">
        <v>69</v>
      </c>
      <c r="P81" t="s">
        <v>67</v>
      </c>
      <c r="Q81" t="s">
        <v>103</v>
      </c>
      <c r="R81" t="s">
        <v>94</v>
      </c>
      <c r="S81" t="s">
        <v>72</v>
      </c>
      <c r="T81" t="s">
        <v>99</v>
      </c>
      <c r="U81" t="s">
        <v>74</v>
      </c>
      <c r="Z81" t="s">
        <v>81</v>
      </c>
      <c r="AA81" t="s">
        <v>81</v>
      </c>
      <c r="AB81" t="s">
        <v>81</v>
      </c>
      <c r="AC81" t="s">
        <v>81</v>
      </c>
      <c r="AD81" t="s">
        <v>81</v>
      </c>
      <c r="AE81" t="s">
        <v>81</v>
      </c>
      <c r="AF81" t="s">
        <v>81</v>
      </c>
      <c r="AG81" t="s">
        <v>81</v>
      </c>
      <c r="AH81" t="s">
        <v>81</v>
      </c>
      <c r="AI81" t="s">
        <v>81</v>
      </c>
      <c r="AJ81">
        <v>4</v>
      </c>
      <c r="AK81">
        <v>3</v>
      </c>
      <c r="AL81">
        <v>4</v>
      </c>
      <c r="AM81" t="s">
        <v>104</v>
      </c>
    </row>
    <row r="82" spans="1:39" x14ac:dyDescent="0.35">
      <c r="A82">
        <v>56</v>
      </c>
      <c r="B82" t="str" cm="1">
        <f t="array" ref="B82">_xlfn.IFS(A82&lt;=25,"18-25",A82&lt;=33,"26-33",A82&lt;=41,"34-41",A82&lt;=49,"42-49",A82&gt;49,"50 or above")</f>
        <v>50 or above</v>
      </c>
      <c r="C82" t="s">
        <v>89</v>
      </c>
      <c r="D82" t="s">
        <v>63</v>
      </c>
      <c r="E82" t="s">
        <v>121</v>
      </c>
      <c r="F82" t="s">
        <v>65</v>
      </c>
      <c r="G82" t="s">
        <v>66</v>
      </c>
      <c r="H82" t="s">
        <v>66</v>
      </c>
      <c r="I82">
        <v>1</v>
      </c>
      <c r="J82" t="s">
        <v>67</v>
      </c>
      <c r="K82" t="s">
        <v>68</v>
      </c>
      <c r="P82" t="s">
        <v>67</v>
      </c>
      <c r="Q82" t="s">
        <v>98</v>
      </c>
      <c r="R82" t="s">
        <v>94</v>
      </c>
      <c r="S82" t="s">
        <v>72</v>
      </c>
      <c r="T82" t="s">
        <v>73</v>
      </c>
      <c r="U82" t="s">
        <v>74</v>
      </c>
      <c r="V82" t="s">
        <v>75</v>
      </c>
      <c r="X82" t="s">
        <v>77</v>
      </c>
      <c r="Z82" t="s">
        <v>80</v>
      </c>
      <c r="AA82" t="s">
        <v>81</v>
      </c>
      <c r="AB82" t="s">
        <v>81</v>
      </c>
      <c r="AC82" t="s">
        <v>80</v>
      </c>
      <c r="AD82" t="s">
        <v>81</v>
      </c>
      <c r="AE82" t="s">
        <v>80</v>
      </c>
      <c r="AF82" t="s">
        <v>80</v>
      </c>
      <c r="AG82" t="s">
        <v>80</v>
      </c>
      <c r="AH82" t="s">
        <v>81</v>
      </c>
      <c r="AI82" t="s">
        <v>80</v>
      </c>
      <c r="AJ82">
        <v>4</v>
      </c>
      <c r="AK82">
        <v>3</v>
      </c>
      <c r="AL82">
        <v>3</v>
      </c>
      <c r="AM82" t="s">
        <v>82</v>
      </c>
    </row>
    <row r="83" spans="1:39" x14ac:dyDescent="0.35">
      <c r="A83">
        <v>35</v>
      </c>
      <c r="B83" t="str" cm="1">
        <f t="array" ref="B83">_xlfn.IFS(A83&lt;=25,"18-25",A83&lt;=33,"26-33",A83&lt;=41,"34-41",A83&lt;=49,"42-49",A83&gt;49,"50 or above")</f>
        <v>34-41</v>
      </c>
      <c r="C83" t="s">
        <v>89</v>
      </c>
      <c r="D83" t="s">
        <v>105</v>
      </c>
      <c r="E83" t="s">
        <v>109</v>
      </c>
      <c r="F83" t="s">
        <v>65</v>
      </c>
      <c r="G83" t="s">
        <v>66</v>
      </c>
      <c r="H83" t="s">
        <v>66</v>
      </c>
      <c r="I83">
        <v>1</v>
      </c>
      <c r="J83" t="s">
        <v>67</v>
      </c>
      <c r="K83" t="s">
        <v>68</v>
      </c>
      <c r="P83" t="s">
        <v>67</v>
      </c>
      <c r="Q83" t="s">
        <v>98</v>
      </c>
      <c r="R83" t="s">
        <v>94</v>
      </c>
      <c r="S83" t="s">
        <v>72</v>
      </c>
      <c r="T83" t="s">
        <v>99</v>
      </c>
      <c r="U83" t="s">
        <v>74</v>
      </c>
      <c r="V83" t="s">
        <v>75</v>
      </c>
      <c r="W83" t="s">
        <v>76</v>
      </c>
      <c r="Z83" t="s">
        <v>80</v>
      </c>
      <c r="AA83" t="s">
        <v>81</v>
      </c>
      <c r="AB83" t="s">
        <v>80</v>
      </c>
      <c r="AC83" t="s">
        <v>80</v>
      </c>
      <c r="AD83" t="s">
        <v>80</v>
      </c>
      <c r="AE83" t="s">
        <v>80</v>
      </c>
      <c r="AF83" t="s">
        <v>80</v>
      </c>
      <c r="AG83" t="s">
        <v>80</v>
      </c>
      <c r="AH83" t="s">
        <v>80</v>
      </c>
      <c r="AI83" t="s">
        <v>80</v>
      </c>
      <c r="AJ83">
        <v>3</v>
      </c>
      <c r="AK83">
        <v>3</v>
      </c>
      <c r="AL83">
        <v>3</v>
      </c>
      <c r="AM83" t="s">
        <v>115</v>
      </c>
    </row>
    <row r="84" spans="1:39" x14ac:dyDescent="0.35">
      <c r="A84">
        <v>28</v>
      </c>
      <c r="B84" t="str" cm="1">
        <f t="array" ref="B84">_xlfn.IFS(A84&lt;=25,"18-25",A84&lt;=33,"26-33",A84&lt;=41,"34-41",A84&lt;=49,"42-49",A84&gt;49,"50 or above")</f>
        <v>26-33</v>
      </c>
      <c r="C84" t="s">
        <v>89</v>
      </c>
      <c r="D84" t="s">
        <v>116</v>
      </c>
      <c r="E84" t="s">
        <v>86</v>
      </c>
      <c r="F84" t="s">
        <v>65</v>
      </c>
      <c r="G84" t="s">
        <v>66</v>
      </c>
      <c r="H84" t="s">
        <v>66</v>
      </c>
      <c r="I84">
        <v>1</v>
      </c>
      <c r="J84" t="s">
        <v>67</v>
      </c>
      <c r="K84" t="s">
        <v>68</v>
      </c>
      <c r="L84" t="s">
        <v>69</v>
      </c>
      <c r="P84" t="s">
        <v>67</v>
      </c>
      <c r="Q84" t="s">
        <v>70</v>
      </c>
      <c r="R84" t="s">
        <v>92</v>
      </c>
      <c r="S84" t="s">
        <v>95</v>
      </c>
      <c r="T84" t="s">
        <v>73</v>
      </c>
      <c r="U84" t="s">
        <v>74</v>
      </c>
      <c r="V84" t="s">
        <v>75</v>
      </c>
      <c r="W84" t="s">
        <v>76</v>
      </c>
      <c r="X84" t="s">
        <v>77</v>
      </c>
      <c r="Y84" t="s">
        <v>108</v>
      </c>
      <c r="Z84" t="s">
        <v>80</v>
      </c>
      <c r="AA84" t="s">
        <v>80</v>
      </c>
      <c r="AB84" t="s">
        <v>80</v>
      </c>
      <c r="AC84" t="s">
        <v>80</v>
      </c>
      <c r="AD84" t="s">
        <v>80</v>
      </c>
      <c r="AE84" t="s">
        <v>80</v>
      </c>
      <c r="AF84" t="s">
        <v>80</v>
      </c>
      <c r="AG84" t="s">
        <v>80</v>
      </c>
      <c r="AH84" t="s">
        <v>80</v>
      </c>
      <c r="AI84" t="s">
        <v>80</v>
      </c>
      <c r="AJ84">
        <v>4</v>
      </c>
      <c r="AK84">
        <v>3</v>
      </c>
      <c r="AL84">
        <v>4</v>
      </c>
      <c r="AM84" t="s">
        <v>82</v>
      </c>
    </row>
    <row r="85" spans="1:39" x14ac:dyDescent="0.35">
      <c r="A85">
        <v>40</v>
      </c>
      <c r="B85" t="str" cm="1">
        <f t="array" ref="B85">_xlfn.IFS(A85&lt;=25,"18-25",A85&lt;=33,"26-33",A85&lt;=41,"34-41",A85&lt;=49,"42-49",A85&gt;49,"50 or above")</f>
        <v>34-41</v>
      </c>
      <c r="C85" t="s">
        <v>89</v>
      </c>
      <c r="D85" t="s">
        <v>119</v>
      </c>
      <c r="E85" t="s">
        <v>121</v>
      </c>
      <c r="F85" t="s">
        <v>65</v>
      </c>
      <c r="G85" t="s">
        <v>66</v>
      </c>
      <c r="H85" t="s">
        <v>66</v>
      </c>
      <c r="I85">
        <v>1</v>
      </c>
      <c r="J85" t="s">
        <v>67</v>
      </c>
      <c r="K85" t="s">
        <v>68</v>
      </c>
      <c r="L85" t="s">
        <v>69</v>
      </c>
      <c r="P85" t="s">
        <v>93</v>
      </c>
      <c r="Q85" t="s">
        <v>117</v>
      </c>
      <c r="R85" t="s">
        <v>94</v>
      </c>
      <c r="S85" t="s">
        <v>107</v>
      </c>
      <c r="T85" t="s">
        <v>99</v>
      </c>
      <c r="U85" t="s">
        <v>74</v>
      </c>
      <c r="Z85" t="s">
        <v>81</v>
      </c>
      <c r="AA85" t="s">
        <v>81</v>
      </c>
      <c r="AB85" t="s">
        <v>81</v>
      </c>
      <c r="AC85" t="s">
        <v>80</v>
      </c>
      <c r="AD85" t="s">
        <v>80</v>
      </c>
      <c r="AE85" t="s">
        <v>80</v>
      </c>
      <c r="AF85" t="s">
        <v>80</v>
      </c>
      <c r="AG85" t="s">
        <v>80</v>
      </c>
      <c r="AH85" t="s">
        <v>80</v>
      </c>
      <c r="AI85" t="s">
        <v>80</v>
      </c>
      <c r="AJ85">
        <v>4</v>
      </c>
      <c r="AK85">
        <v>4</v>
      </c>
      <c r="AL85">
        <v>3</v>
      </c>
      <c r="AM85" t="s">
        <v>115</v>
      </c>
    </row>
    <row r="86" spans="1:39" x14ac:dyDescent="0.35">
      <c r="A86">
        <v>40</v>
      </c>
      <c r="B86" t="str" cm="1">
        <f t="array" ref="B86">_xlfn.IFS(A86&lt;=25,"18-25",A86&lt;=33,"26-33",A86&lt;=41,"34-41",A86&lt;=49,"42-49",A86&gt;49,"50 or above")</f>
        <v>34-41</v>
      </c>
      <c r="C86" t="s">
        <v>89</v>
      </c>
      <c r="D86" t="s">
        <v>63</v>
      </c>
      <c r="E86" t="s">
        <v>121</v>
      </c>
      <c r="F86" t="s">
        <v>102</v>
      </c>
      <c r="G86" t="s">
        <v>66</v>
      </c>
      <c r="H86" t="s">
        <v>66</v>
      </c>
      <c r="I86">
        <v>1</v>
      </c>
      <c r="J86" t="s">
        <v>67</v>
      </c>
      <c r="K86" t="s">
        <v>68</v>
      </c>
      <c r="L86" t="s">
        <v>69</v>
      </c>
      <c r="P86" t="s">
        <v>67</v>
      </c>
      <c r="Q86" t="s">
        <v>103</v>
      </c>
      <c r="R86" t="s">
        <v>94</v>
      </c>
      <c r="S86" t="s">
        <v>107</v>
      </c>
      <c r="T86" t="s">
        <v>73</v>
      </c>
      <c r="U86" t="s">
        <v>74</v>
      </c>
      <c r="Z86" t="s">
        <v>79</v>
      </c>
      <c r="AA86" t="s">
        <v>81</v>
      </c>
      <c r="AB86" t="s">
        <v>80</v>
      </c>
      <c r="AC86" t="s">
        <v>81</v>
      </c>
      <c r="AD86" t="s">
        <v>81</v>
      </c>
      <c r="AE86" t="s">
        <v>79</v>
      </c>
      <c r="AF86" t="s">
        <v>79</v>
      </c>
      <c r="AG86" t="s">
        <v>79</v>
      </c>
      <c r="AH86" t="s">
        <v>79</v>
      </c>
      <c r="AI86" t="s">
        <v>79</v>
      </c>
      <c r="AJ86">
        <v>2</v>
      </c>
      <c r="AK86">
        <v>3</v>
      </c>
      <c r="AL86">
        <v>2</v>
      </c>
      <c r="AM86" t="s">
        <v>104</v>
      </c>
    </row>
    <row r="87" spans="1:39" x14ac:dyDescent="0.35">
      <c r="A87">
        <v>28</v>
      </c>
      <c r="B87" t="str" cm="1">
        <f t="array" ref="B87">_xlfn.IFS(A87&lt;=25,"18-25",A87&lt;=33,"26-33",A87&lt;=41,"34-41",A87&lt;=49,"42-49",A87&gt;49,"50 or above")</f>
        <v>26-33</v>
      </c>
      <c r="C87" t="s">
        <v>89</v>
      </c>
      <c r="D87" t="s">
        <v>63</v>
      </c>
      <c r="E87" t="s">
        <v>121</v>
      </c>
      <c r="F87" t="s">
        <v>87</v>
      </c>
      <c r="G87" t="s">
        <v>66</v>
      </c>
      <c r="H87" t="s">
        <v>66</v>
      </c>
      <c r="I87">
        <v>1</v>
      </c>
      <c r="J87" t="s">
        <v>67</v>
      </c>
      <c r="K87" t="s">
        <v>68</v>
      </c>
      <c r="L87" t="s">
        <v>69</v>
      </c>
      <c r="P87" t="s">
        <v>67</v>
      </c>
      <c r="Q87" t="s">
        <v>98</v>
      </c>
      <c r="R87" t="s">
        <v>94</v>
      </c>
      <c r="S87" t="s">
        <v>72</v>
      </c>
      <c r="T87" t="s">
        <v>73</v>
      </c>
      <c r="U87" t="s">
        <v>74</v>
      </c>
      <c r="Z87" t="s">
        <v>81</v>
      </c>
      <c r="AA87" t="s">
        <v>81</v>
      </c>
      <c r="AB87" t="s">
        <v>81</v>
      </c>
      <c r="AC87" t="s">
        <v>81</v>
      </c>
      <c r="AD87" t="s">
        <v>79</v>
      </c>
      <c r="AE87" t="s">
        <v>81</v>
      </c>
      <c r="AF87" t="s">
        <v>81</v>
      </c>
      <c r="AG87" t="s">
        <v>81</v>
      </c>
      <c r="AH87" t="s">
        <v>79</v>
      </c>
      <c r="AI87" t="s">
        <v>79</v>
      </c>
      <c r="AJ87">
        <v>4</v>
      </c>
      <c r="AK87">
        <v>3</v>
      </c>
      <c r="AL87">
        <v>3</v>
      </c>
      <c r="AM87" t="s">
        <v>115</v>
      </c>
    </row>
    <row r="88" spans="1:39" x14ac:dyDescent="0.35">
      <c r="A88">
        <v>25</v>
      </c>
      <c r="B88" t="str" cm="1">
        <f t="array" ref="B88">_xlfn.IFS(A88&lt;=25,"18-25",A88&lt;=33,"26-33",A88&lt;=41,"34-41",A88&lt;=49,"42-49",A88&gt;49,"50 or above")</f>
        <v>18-25</v>
      </c>
      <c r="C88" t="s">
        <v>89</v>
      </c>
      <c r="D88" t="s">
        <v>105</v>
      </c>
      <c r="E88" t="s">
        <v>64</v>
      </c>
      <c r="F88" t="s">
        <v>87</v>
      </c>
      <c r="G88" t="s">
        <v>66</v>
      </c>
      <c r="H88" t="s">
        <v>66</v>
      </c>
      <c r="I88">
        <v>1</v>
      </c>
      <c r="J88" t="s">
        <v>67</v>
      </c>
      <c r="P88" t="s">
        <v>67</v>
      </c>
      <c r="Q88" t="s">
        <v>98</v>
      </c>
      <c r="R88" t="s">
        <v>94</v>
      </c>
      <c r="S88" t="s">
        <v>95</v>
      </c>
      <c r="T88" t="s">
        <v>99</v>
      </c>
      <c r="U88" t="s">
        <v>74</v>
      </c>
      <c r="V88" t="s">
        <v>75</v>
      </c>
      <c r="W88" t="s">
        <v>76</v>
      </c>
      <c r="X88" t="s">
        <v>77</v>
      </c>
      <c r="Y88" t="s">
        <v>108</v>
      </c>
      <c r="Z88" t="s">
        <v>81</v>
      </c>
      <c r="AA88" t="s">
        <v>80</v>
      </c>
      <c r="AB88" t="s">
        <v>80</v>
      </c>
      <c r="AC88" t="s">
        <v>80</v>
      </c>
      <c r="AD88" t="s">
        <v>80</v>
      </c>
      <c r="AE88" t="s">
        <v>80</v>
      </c>
      <c r="AF88" t="s">
        <v>81</v>
      </c>
      <c r="AG88" t="s">
        <v>81</v>
      </c>
      <c r="AH88" t="s">
        <v>81</v>
      </c>
      <c r="AI88" t="s">
        <v>81</v>
      </c>
      <c r="AJ88">
        <v>4</v>
      </c>
      <c r="AK88">
        <v>3</v>
      </c>
      <c r="AL88">
        <v>4</v>
      </c>
      <c r="AM88" t="s">
        <v>133</v>
      </c>
    </row>
    <row r="89" spans="1:39" x14ac:dyDescent="0.35">
      <c r="A89">
        <v>30</v>
      </c>
      <c r="B89" t="str" cm="1">
        <f t="array" ref="B89">_xlfn.IFS(A89&lt;=25,"18-25",A89&lt;=33,"26-33",A89&lt;=41,"34-41",A89&lt;=49,"42-49",A89&gt;49,"50 or above")</f>
        <v>26-33</v>
      </c>
      <c r="C89" t="s">
        <v>89</v>
      </c>
      <c r="D89" t="s">
        <v>105</v>
      </c>
      <c r="E89" t="s">
        <v>109</v>
      </c>
      <c r="F89" t="s">
        <v>102</v>
      </c>
      <c r="G89" t="s">
        <v>66</v>
      </c>
      <c r="H89" t="s">
        <v>66</v>
      </c>
      <c r="I89">
        <v>1</v>
      </c>
      <c r="K89" t="s">
        <v>93</v>
      </c>
      <c r="P89" t="s">
        <v>93</v>
      </c>
      <c r="Q89" t="s">
        <v>98</v>
      </c>
      <c r="R89" t="s">
        <v>94</v>
      </c>
      <c r="S89" t="s">
        <v>95</v>
      </c>
      <c r="T89" t="s">
        <v>99</v>
      </c>
      <c r="V89" t="s">
        <v>96</v>
      </c>
      <c r="W89" t="s">
        <v>76</v>
      </c>
      <c r="X89" t="s">
        <v>77</v>
      </c>
      <c r="Z89" t="s">
        <v>79</v>
      </c>
      <c r="AA89" t="s">
        <v>81</v>
      </c>
      <c r="AB89" t="s">
        <v>81</v>
      </c>
      <c r="AC89" t="s">
        <v>80</v>
      </c>
      <c r="AD89" t="s">
        <v>80</v>
      </c>
      <c r="AE89" t="s">
        <v>81</v>
      </c>
      <c r="AF89" t="s">
        <v>81</v>
      </c>
      <c r="AG89" t="s">
        <v>80</v>
      </c>
      <c r="AH89" t="s">
        <v>80</v>
      </c>
      <c r="AI89" t="s">
        <v>81</v>
      </c>
      <c r="AJ89">
        <v>4</v>
      </c>
      <c r="AK89">
        <v>3</v>
      </c>
      <c r="AL89">
        <v>4</v>
      </c>
      <c r="AM89" t="s">
        <v>133</v>
      </c>
    </row>
    <row r="90" spans="1:39" x14ac:dyDescent="0.35">
      <c r="A90">
        <v>35</v>
      </c>
      <c r="B90" t="str" cm="1">
        <f t="array" ref="B90">_xlfn.IFS(A90&lt;=25,"18-25",A90&lt;=33,"26-33",A90&lt;=41,"34-41",A90&lt;=49,"42-49",A90&gt;49,"50 or above")</f>
        <v>34-41</v>
      </c>
      <c r="C90" t="s">
        <v>89</v>
      </c>
      <c r="D90" t="s">
        <v>116</v>
      </c>
      <c r="E90" t="s">
        <v>86</v>
      </c>
      <c r="F90" t="s">
        <v>65</v>
      </c>
      <c r="G90" t="s">
        <v>66</v>
      </c>
      <c r="H90" t="s">
        <v>66</v>
      </c>
      <c r="I90">
        <v>1</v>
      </c>
      <c r="J90" t="s">
        <v>67</v>
      </c>
      <c r="P90" t="s">
        <v>67</v>
      </c>
      <c r="Q90" t="s">
        <v>117</v>
      </c>
      <c r="R90" t="s">
        <v>94</v>
      </c>
      <c r="S90" t="s">
        <v>95</v>
      </c>
      <c r="T90" t="s">
        <v>99</v>
      </c>
      <c r="W90" t="s">
        <v>134</v>
      </c>
      <c r="Z90" t="s">
        <v>79</v>
      </c>
      <c r="AA90" t="s">
        <v>81</v>
      </c>
      <c r="AB90" t="s">
        <v>79</v>
      </c>
      <c r="AC90" t="s">
        <v>81</v>
      </c>
      <c r="AD90" t="s">
        <v>79</v>
      </c>
      <c r="AE90" t="s">
        <v>81</v>
      </c>
      <c r="AF90" t="s">
        <v>79</v>
      </c>
      <c r="AG90" t="s">
        <v>81</v>
      </c>
      <c r="AH90" t="s">
        <v>81</v>
      </c>
      <c r="AI90" t="s">
        <v>81</v>
      </c>
      <c r="AJ90">
        <v>4</v>
      </c>
      <c r="AK90">
        <v>3</v>
      </c>
      <c r="AL90">
        <v>4</v>
      </c>
      <c r="AM90" t="s">
        <v>104</v>
      </c>
    </row>
    <row r="91" spans="1:39" x14ac:dyDescent="0.35">
      <c r="A91">
        <v>27</v>
      </c>
      <c r="B91" t="str" cm="1">
        <f t="array" ref="B91">_xlfn.IFS(A91&lt;=25,"18-25",A91&lt;=33,"26-33",A91&lt;=41,"34-41",A91&lt;=49,"42-49",A91&gt;49,"50 or above")</f>
        <v>26-33</v>
      </c>
      <c r="C91" t="s">
        <v>89</v>
      </c>
      <c r="D91" t="s">
        <v>63</v>
      </c>
      <c r="E91" t="s">
        <v>86</v>
      </c>
      <c r="F91" t="s">
        <v>102</v>
      </c>
      <c r="G91" t="s">
        <v>66</v>
      </c>
      <c r="H91" t="s">
        <v>66</v>
      </c>
      <c r="I91">
        <v>1</v>
      </c>
      <c r="J91" t="s">
        <v>67</v>
      </c>
      <c r="P91" t="s">
        <v>67</v>
      </c>
      <c r="Q91" t="s">
        <v>117</v>
      </c>
      <c r="R91" t="s">
        <v>94</v>
      </c>
      <c r="S91" t="s">
        <v>107</v>
      </c>
      <c r="T91" t="s">
        <v>73</v>
      </c>
      <c r="U91" t="s">
        <v>74</v>
      </c>
      <c r="Z91" t="s">
        <v>81</v>
      </c>
      <c r="AA91" t="s">
        <v>81</v>
      </c>
      <c r="AB91" t="s">
        <v>81</v>
      </c>
      <c r="AC91" t="s">
        <v>81</v>
      </c>
      <c r="AD91" t="s">
        <v>81</v>
      </c>
      <c r="AE91" t="s">
        <v>79</v>
      </c>
      <c r="AF91" t="s">
        <v>81</v>
      </c>
      <c r="AG91" t="s">
        <v>81</v>
      </c>
      <c r="AH91" t="s">
        <v>81</v>
      </c>
      <c r="AI91" t="s">
        <v>81</v>
      </c>
      <c r="AJ91">
        <v>4</v>
      </c>
      <c r="AK91">
        <v>3</v>
      </c>
      <c r="AL91">
        <v>4</v>
      </c>
      <c r="AM91" t="s">
        <v>104</v>
      </c>
    </row>
    <row r="92" spans="1:39" x14ac:dyDescent="0.35">
      <c r="A92">
        <v>38</v>
      </c>
      <c r="B92" t="str" cm="1">
        <f t="array" ref="B92">_xlfn.IFS(A92&lt;=25,"18-25",A92&lt;=33,"26-33",A92&lt;=41,"34-41",A92&lt;=49,"42-49",A92&gt;49,"50 or above")</f>
        <v>34-41</v>
      </c>
      <c r="C92" t="s">
        <v>89</v>
      </c>
      <c r="D92" t="s">
        <v>105</v>
      </c>
      <c r="E92" t="s">
        <v>86</v>
      </c>
      <c r="F92" t="s">
        <v>87</v>
      </c>
      <c r="G92" t="s">
        <v>66</v>
      </c>
      <c r="H92" t="s">
        <v>66</v>
      </c>
      <c r="I92">
        <v>1</v>
      </c>
      <c r="J92" t="s">
        <v>67</v>
      </c>
      <c r="K92" t="s">
        <v>68</v>
      </c>
      <c r="P92" t="s">
        <v>93</v>
      </c>
      <c r="Q92" t="s">
        <v>117</v>
      </c>
      <c r="R92" t="s">
        <v>94</v>
      </c>
      <c r="S92" t="s">
        <v>107</v>
      </c>
      <c r="T92" t="s">
        <v>73</v>
      </c>
      <c r="U92" t="s">
        <v>74</v>
      </c>
      <c r="Z92" t="s">
        <v>79</v>
      </c>
      <c r="AA92" t="s">
        <v>81</v>
      </c>
      <c r="AB92" t="s">
        <v>81</v>
      </c>
      <c r="AC92" t="s">
        <v>79</v>
      </c>
      <c r="AD92" t="s">
        <v>81</v>
      </c>
      <c r="AE92" t="s">
        <v>81</v>
      </c>
      <c r="AF92" t="s">
        <v>81</v>
      </c>
      <c r="AG92" t="s">
        <v>79</v>
      </c>
      <c r="AH92" t="s">
        <v>79</v>
      </c>
      <c r="AI92" t="s">
        <v>79</v>
      </c>
      <c r="AJ92">
        <v>2</v>
      </c>
      <c r="AK92">
        <v>2</v>
      </c>
      <c r="AL92">
        <v>3</v>
      </c>
      <c r="AM92" t="s">
        <v>82</v>
      </c>
    </row>
    <row r="93" spans="1:39" x14ac:dyDescent="0.35">
      <c r="A93">
        <v>39</v>
      </c>
      <c r="B93" t="str" cm="1">
        <f t="array" ref="B93">_xlfn.IFS(A93&lt;=25,"18-25",A93&lt;=33,"26-33",A93&lt;=41,"34-41",A93&lt;=49,"42-49",A93&gt;49,"50 or above")</f>
        <v>34-41</v>
      </c>
      <c r="C93" t="s">
        <v>89</v>
      </c>
      <c r="D93" t="s">
        <v>105</v>
      </c>
      <c r="E93" t="s">
        <v>86</v>
      </c>
      <c r="F93" t="s">
        <v>102</v>
      </c>
      <c r="G93" t="s">
        <v>66</v>
      </c>
      <c r="H93" t="s">
        <v>66</v>
      </c>
      <c r="I93">
        <v>1</v>
      </c>
      <c r="K93" t="s">
        <v>93</v>
      </c>
      <c r="P93" t="s">
        <v>93</v>
      </c>
      <c r="Q93" t="s">
        <v>103</v>
      </c>
      <c r="R93" t="s">
        <v>94</v>
      </c>
      <c r="S93" t="s">
        <v>107</v>
      </c>
      <c r="T93" t="s">
        <v>73</v>
      </c>
      <c r="U93" t="s">
        <v>74</v>
      </c>
      <c r="Z93" t="s">
        <v>81</v>
      </c>
      <c r="AA93" t="s">
        <v>81</v>
      </c>
      <c r="AB93" t="s">
        <v>81</v>
      </c>
      <c r="AC93" t="s">
        <v>81</v>
      </c>
      <c r="AD93" t="s">
        <v>80</v>
      </c>
      <c r="AE93" t="s">
        <v>80</v>
      </c>
      <c r="AF93" t="s">
        <v>80</v>
      </c>
      <c r="AG93" t="s">
        <v>81</v>
      </c>
      <c r="AH93" t="s">
        <v>81</v>
      </c>
      <c r="AI93" t="s">
        <v>80</v>
      </c>
      <c r="AJ93">
        <v>4</v>
      </c>
      <c r="AK93">
        <v>3</v>
      </c>
      <c r="AL93">
        <v>3</v>
      </c>
      <c r="AM93" t="s">
        <v>97</v>
      </c>
    </row>
    <row r="94" spans="1:39" x14ac:dyDescent="0.35">
      <c r="A94">
        <v>43</v>
      </c>
      <c r="B94" t="str" cm="1">
        <f t="array" ref="B94">_xlfn.IFS(A94&lt;=25,"18-25",A94&lt;=33,"26-33",A94&lt;=41,"34-41",A94&lt;=49,"42-49",A94&gt;49,"50 or above")</f>
        <v>42-49</v>
      </c>
      <c r="C94" t="s">
        <v>89</v>
      </c>
      <c r="D94" t="s">
        <v>105</v>
      </c>
      <c r="E94" t="s">
        <v>109</v>
      </c>
      <c r="F94" t="s">
        <v>65</v>
      </c>
      <c r="G94" t="s">
        <v>66</v>
      </c>
      <c r="H94" t="s">
        <v>66</v>
      </c>
      <c r="I94">
        <v>1</v>
      </c>
      <c r="J94" t="s">
        <v>67</v>
      </c>
      <c r="P94" t="s">
        <v>67</v>
      </c>
      <c r="Q94" t="s">
        <v>117</v>
      </c>
      <c r="R94" t="s">
        <v>94</v>
      </c>
      <c r="S94" t="s">
        <v>107</v>
      </c>
      <c r="T94" t="s">
        <v>73</v>
      </c>
      <c r="U94" t="s">
        <v>74</v>
      </c>
      <c r="Z94" t="s">
        <v>81</v>
      </c>
      <c r="AA94" t="s">
        <v>81</v>
      </c>
      <c r="AB94" t="s">
        <v>80</v>
      </c>
      <c r="AC94" t="s">
        <v>80</v>
      </c>
      <c r="AD94" t="s">
        <v>80</v>
      </c>
      <c r="AE94" t="s">
        <v>81</v>
      </c>
      <c r="AF94" t="s">
        <v>80</v>
      </c>
      <c r="AG94" t="s">
        <v>80</v>
      </c>
      <c r="AH94" t="s">
        <v>80</v>
      </c>
      <c r="AI94" t="s">
        <v>80</v>
      </c>
      <c r="AJ94">
        <v>3</v>
      </c>
      <c r="AK94">
        <v>4</v>
      </c>
      <c r="AL94">
        <v>3</v>
      </c>
      <c r="AM94" t="s">
        <v>115</v>
      </c>
    </row>
    <row r="95" spans="1:39" x14ac:dyDescent="0.35">
      <c r="A95">
        <v>34</v>
      </c>
      <c r="B95" t="str" cm="1">
        <f t="array" ref="B95">_xlfn.IFS(A95&lt;=25,"18-25",A95&lt;=33,"26-33",A95&lt;=41,"34-41",A95&lt;=49,"42-49",A95&gt;49,"50 or above")</f>
        <v>34-41</v>
      </c>
      <c r="C95" t="s">
        <v>89</v>
      </c>
      <c r="D95" t="s">
        <v>116</v>
      </c>
      <c r="E95" t="s">
        <v>121</v>
      </c>
      <c r="F95" t="s">
        <v>65</v>
      </c>
      <c r="G95" t="s">
        <v>66</v>
      </c>
      <c r="H95" t="s">
        <v>66</v>
      </c>
      <c r="I95">
        <v>1</v>
      </c>
      <c r="J95" t="s">
        <v>67</v>
      </c>
      <c r="P95" t="s">
        <v>67</v>
      </c>
      <c r="Q95" t="s">
        <v>70</v>
      </c>
      <c r="R95" t="s">
        <v>94</v>
      </c>
      <c r="S95" t="s">
        <v>107</v>
      </c>
      <c r="T95" t="s">
        <v>73</v>
      </c>
      <c r="U95" t="s">
        <v>74</v>
      </c>
      <c r="Z95" t="s">
        <v>79</v>
      </c>
      <c r="AA95" t="s">
        <v>81</v>
      </c>
      <c r="AB95" t="s">
        <v>79</v>
      </c>
      <c r="AC95" t="s">
        <v>81</v>
      </c>
      <c r="AD95" t="s">
        <v>80</v>
      </c>
      <c r="AE95" t="s">
        <v>78</v>
      </c>
      <c r="AF95" t="s">
        <v>80</v>
      </c>
      <c r="AG95" t="s">
        <v>80</v>
      </c>
      <c r="AH95" t="s">
        <v>80</v>
      </c>
      <c r="AI95" t="s">
        <v>80</v>
      </c>
      <c r="AJ95">
        <v>4</v>
      </c>
      <c r="AK95">
        <v>3</v>
      </c>
      <c r="AL95">
        <v>3</v>
      </c>
      <c r="AM95" t="s">
        <v>133</v>
      </c>
    </row>
    <row r="96" spans="1:39" x14ac:dyDescent="0.35">
      <c r="A96">
        <v>34</v>
      </c>
      <c r="B96" t="str" cm="1">
        <f t="array" ref="B96">_xlfn.IFS(A96&lt;=25,"18-25",A96&lt;=33,"26-33",A96&lt;=41,"34-41",A96&lt;=49,"42-49",A96&gt;49,"50 or above")</f>
        <v>34-41</v>
      </c>
      <c r="C96" t="s">
        <v>89</v>
      </c>
      <c r="D96" t="s">
        <v>105</v>
      </c>
      <c r="E96" t="s">
        <v>109</v>
      </c>
      <c r="F96" t="s">
        <v>102</v>
      </c>
      <c r="G96" t="s">
        <v>66</v>
      </c>
      <c r="H96" t="s">
        <v>66</v>
      </c>
      <c r="I96">
        <v>1</v>
      </c>
      <c r="J96" t="s">
        <v>67</v>
      </c>
      <c r="P96" t="s">
        <v>67</v>
      </c>
      <c r="Q96" t="s">
        <v>117</v>
      </c>
      <c r="R96" t="s">
        <v>94</v>
      </c>
      <c r="S96" t="s">
        <v>107</v>
      </c>
      <c r="T96" t="s">
        <v>99</v>
      </c>
      <c r="U96" t="s">
        <v>74</v>
      </c>
      <c r="Z96" t="s">
        <v>81</v>
      </c>
      <c r="AA96" t="s">
        <v>80</v>
      </c>
      <c r="AB96" t="s">
        <v>81</v>
      </c>
      <c r="AC96" t="s">
        <v>81</v>
      </c>
      <c r="AD96" t="s">
        <v>80</v>
      </c>
      <c r="AE96" t="s">
        <v>81</v>
      </c>
      <c r="AF96" t="s">
        <v>81</v>
      </c>
      <c r="AG96" t="s">
        <v>81</v>
      </c>
      <c r="AH96" t="s">
        <v>81</v>
      </c>
      <c r="AI96" t="s">
        <v>81</v>
      </c>
      <c r="AJ96">
        <v>4</v>
      </c>
      <c r="AK96">
        <v>3</v>
      </c>
      <c r="AL96">
        <v>3</v>
      </c>
      <c r="AM96" t="s">
        <v>97</v>
      </c>
    </row>
    <row r="97" spans="1:39" x14ac:dyDescent="0.35">
      <c r="A97">
        <v>50</v>
      </c>
      <c r="B97" t="str" cm="1">
        <f t="array" ref="B97">_xlfn.IFS(A97&lt;=25,"18-25",A97&lt;=33,"26-33",A97&lt;=41,"34-41",A97&lt;=49,"42-49",A97&gt;49,"50 or above")</f>
        <v>50 or above</v>
      </c>
      <c r="C97" t="s">
        <v>89</v>
      </c>
      <c r="D97" t="s">
        <v>105</v>
      </c>
      <c r="E97" t="s">
        <v>121</v>
      </c>
      <c r="F97" t="s">
        <v>102</v>
      </c>
      <c r="G97" t="s">
        <v>66</v>
      </c>
      <c r="H97" t="s">
        <v>66</v>
      </c>
      <c r="I97">
        <v>1</v>
      </c>
      <c r="J97" t="s">
        <v>67</v>
      </c>
      <c r="P97" t="s">
        <v>67</v>
      </c>
      <c r="Q97" t="s">
        <v>117</v>
      </c>
      <c r="R97" t="s">
        <v>94</v>
      </c>
      <c r="S97" t="s">
        <v>95</v>
      </c>
      <c r="T97" t="s">
        <v>99</v>
      </c>
      <c r="U97" t="s">
        <v>74</v>
      </c>
      <c r="V97" t="s">
        <v>75</v>
      </c>
      <c r="W97" t="s">
        <v>76</v>
      </c>
      <c r="X97" t="s">
        <v>77</v>
      </c>
      <c r="Y97" t="s">
        <v>108</v>
      </c>
      <c r="Z97" t="s">
        <v>80</v>
      </c>
      <c r="AA97" t="s">
        <v>80</v>
      </c>
      <c r="AB97" t="s">
        <v>80</v>
      </c>
      <c r="AC97" t="s">
        <v>80</v>
      </c>
      <c r="AD97" t="s">
        <v>80</v>
      </c>
      <c r="AE97" t="s">
        <v>80</v>
      </c>
      <c r="AF97" t="s">
        <v>80</v>
      </c>
      <c r="AG97" t="s">
        <v>80</v>
      </c>
      <c r="AH97" t="s">
        <v>80</v>
      </c>
      <c r="AI97" t="s">
        <v>80</v>
      </c>
      <c r="AJ97">
        <v>3</v>
      </c>
      <c r="AK97">
        <v>3</v>
      </c>
      <c r="AL97">
        <v>3</v>
      </c>
      <c r="AM97" t="s">
        <v>97</v>
      </c>
    </row>
    <row r="98" spans="1:39" x14ac:dyDescent="0.35">
      <c r="A98">
        <v>47</v>
      </c>
      <c r="B98" t="str" cm="1">
        <f t="array" ref="B98">_xlfn.IFS(A98&lt;=25,"18-25",A98&lt;=33,"26-33",A98&lt;=41,"34-41",A98&lt;=49,"42-49",A98&gt;49,"50 or above")</f>
        <v>42-49</v>
      </c>
      <c r="C98" t="s">
        <v>89</v>
      </c>
      <c r="D98" t="s">
        <v>63</v>
      </c>
      <c r="E98" t="s">
        <v>121</v>
      </c>
      <c r="F98" t="s">
        <v>102</v>
      </c>
      <c r="G98" t="s">
        <v>66</v>
      </c>
      <c r="H98" t="s">
        <v>66</v>
      </c>
      <c r="I98">
        <v>1</v>
      </c>
      <c r="J98" t="s">
        <v>67</v>
      </c>
      <c r="P98" t="s">
        <v>67</v>
      </c>
      <c r="Q98" t="s">
        <v>117</v>
      </c>
      <c r="R98" t="s">
        <v>94</v>
      </c>
      <c r="S98" t="s">
        <v>107</v>
      </c>
      <c r="T98" t="s">
        <v>73</v>
      </c>
      <c r="U98" t="s">
        <v>74</v>
      </c>
      <c r="Z98" t="s">
        <v>81</v>
      </c>
      <c r="AA98" t="s">
        <v>80</v>
      </c>
      <c r="AB98" t="s">
        <v>80</v>
      </c>
      <c r="AC98" t="s">
        <v>80</v>
      </c>
      <c r="AD98" t="s">
        <v>80</v>
      </c>
      <c r="AE98" t="s">
        <v>80</v>
      </c>
      <c r="AF98" t="s">
        <v>80</v>
      </c>
      <c r="AG98" t="s">
        <v>80</v>
      </c>
      <c r="AH98" t="s">
        <v>80</v>
      </c>
      <c r="AI98" t="s">
        <v>80</v>
      </c>
      <c r="AJ98">
        <v>3</v>
      </c>
      <c r="AK98">
        <v>4</v>
      </c>
      <c r="AL98">
        <v>3</v>
      </c>
      <c r="AM98" t="s">
        <v>115</v>
      </c>
    </row>
    <row r="99" spans="1:39" x14ac:dyDescent="0.35">
      <c r="A99">
        <v>54</v>
      </c>
      <c r="B99" t="str" cm="1">
        <f t="array" ref="B99">_xlfn.IFS(A99&lt;=25,"18-25",A99&lt;=33,"26-33",A99&lt;=41,"34-41",A99&lt;=49,"42-49",A99&gt;49,"50 or above")</f>
        <v>50 or above</v>
      </c>
      <c r="C99" t="s">
        <v>89</v>
      </c>
      <c r="D99" t="s">
        <v>105</v>
      </c>
      <c r="E99" t="s">
        <v>86</v>
      </c>
      <c r="F99" t="s">
        <v>65</v>
      </c>
      <c r="G99" t="s">
        <v>66</v>
      </c>
      <c r="H99" t="s">
        <v>66</v>
      </c>
      <c r="I99">
        <v>1</v>
      </c>
      <c r="J99" t="s">
        <v>67</v>
      </c>
      <c r="P99" t="s">
        <v>67</v>
      </c>
      <c r="Q99" t="s">
        <v>117</v>
      </c>
      <c r="R99" t="s">
        <v>94</v>
      </c>
      <c r="S99" t="s">
        <v>107</v>
      </c>
      <c r="T99" t="s">
        <v>73</v>
      </c>
      <c r="U99" t="s">
        <v>74</v>
      </c>
      <c r="Z99" t="s">
        <v>79</v>
      </c>
      <c r="AA99" t="s">
        <v>81</v>
      </c>
      <c r="AB99" t="s">
        <v>81</v>
      </c>
      <c r="AC99" t="s">
        <v>81</v>
      </c>
      <c r="AD99" t="s">
        <v>81</v>
      </c>
      <c r="AE99" t="s">
        <v>81</v>
      </c>
      <c r="AF99" t="s">
        <v>81</v>
      </c>
      <c r="AG99" t="s">
        <v>81</v>
      </c>
      <c r="AH99" t="s">
        <v>81</v>
      </c>
      <c r="AI99" t="s">
        <v>81</v>
      </c>
      <c r="AJ99">
        <v>4</v>
      </c>
      <c r="AK99">
        <v>3</v>
      </c>
      <c r="AL99">
        <v>4</v>
      </c>
      <c r="AM99" t="s">
        <v>82</v>
      </c>
    </row>
    <row r="100" spans="1:39" x14ac:dyDescent="0.35">
      <c r="A100">
        <v>45</v>
      </c>
      <c r="B100" t="str" cm="1">
        <f t="array" ref="B100">_xlfn.IFS(A100&lt;=25,"18-25",A100&lt;=33,"26-33",A100&lt;=41,"34-41",A100&lt;=49,"42-49",A100&gt;49,"50 or above")</f>
        <v>42-49</v>
      </c>
      <c r="C100" t="s">
        <v>89</v>
      </c>
      <c r="D100" t="s">
        <v>63</v>
      </c>
      <c r="E100" t="s">
        <v>86</v>
      </c>
      <c r="F100" t="s">
        <v>102</v>
      </c>
      <c r="G100" t="s">
        <v>66</v>
      </c>
      <c r="H100" t="s">
        <v>66</v>
      </c>
      <c r="I100">
        <v>1</v>
      </c>
      <c r="J100" t="s">
        <v>67</v>
      </c>
      <c r="P100" t="s">
        <v>67</v>
      </c>
      <c r="Q100" t="s">
        <v>117</v>
      </c>
      <c r="R100" t="s">
        <v>94</v>
      </c>
      <c r="S100" t="s">
        <v>107</v>
      </c>
      <c r="T100" t="s">
        <v>99</v>
      </c>
      <c r="U100" t="s">
        <v>74</v>
      </c>
      <c r="Z100" t="s">
        <v>81</v>
      </c>
      <c r="AA100" t="s">
        <v>81</v>
      </c>
      <c r="AB100" t="s">
        <v>80</v>
      </c>
      <c r="AC100" t="s">
        <v>80</v>
      </c>
      <c r="AD100" t="s">
        <v>80</v>
      </c>
      <c r="AE100" t="s">
        <v>80</v>
      </c>
      <c r="AF100" t="s">
        <v>80</v>
      </c>
      <c r="AG100" t="s">
        <v>80</v>
      </c>
      <c r="AH100" t="s">
        <v>80</v>
      </c>
      <c r="AI100" t="s">
        <v>80</v>
      </c>
      <c r="AJ100">
        <v>3</v>
      </c>
      <c r="AK100">
        <v>4</v>
      </c>
      <c r="AL100">
        <v>3</v>
      </c>
      <c r="AM100" t="s">
        <v>82</v>
      </c>
    </row>
    <row r="101" spans="1:39" x14ac:dyDescent="0.35">
      <c r="A101">
        <v>38</v>
      </c>
      <c r="B101" t="str" cm="1">
        <f t="array" ref="B101">_xlfn.IFS(A101&lt;=25,"18-25",A101&lt;=33,"26-33",A101&lt;=41,"34-41",A101&lt;=49,"42-49",A101&gt;49,"50 or above")</f>
        <v>34-41</v>
      </c>
      <c r="C101" t="s">
        <v>62</v>
      </c>
      <c r="D101" t="s">
        <v>63</v>
      </c>
      <c r="E101" t="s">
        <v>86</v>
      </c>
      <c r="F101" t="s">
        <v>87</v>
      </c>
      <c r="G101" t="s">
        <v>66</v>
      </c>
      <c r="H101" t="s">
        <v>66</v>
      </c>
      <c r="I101">
        <v>1</v>
      </c>
      <c r="J101" t="s">
        <v>67</v>
      </c>
      <c r="K101" t="s">
        <v>68</v>
      </c>
      <c r="P101" t="s">
        <v>93</v>
      </c>
      <c r="Q101" t="s">
        <v>103</v>
      </c>
      <c r="R101" t="s">
        <v>92</v>
      </c>
      <c r="S101" t="s">
        <v>72</v>
      </c>
      <c r="T101" t="s">
        <v>73</v>
      </c>
      <c r="U101" t="s">
        <v>74</v>
      </c>
      <c r="V101" t="s">
        <v>75</v>
      </c>
      <c r="Z101" t="s">
        <v>78</v>
      </c>
      <c r="AA101" t="s">
        <v>80</v>
      </c>
      <c r="AB101" t="s">
        <v>78</v>
      </c>
      <c r="AC101" t="s">
        <v>81</v>
      </c>
      <c r="AD101" t="s">
        <v>78</v>
      </c>
      <c r="AE101" t="s">
        <v>81</v>
      </c>
      <c r="AF101" t="s">
        <v>80</v>
      </c>
      <c r="AG101" t="s">
        <v>81</v>
      </c>
      <c r="AH101" t="s">
        <v>78</v>
      </c>
      <c r="AI101" t="s">
        <v>78</v>
      </c>
      <c r="AJ101">
        <v>4</v>
      </c>
      <c r="AK101">
        <v>5</v>
      </c>
      <c r="AL101">
        <v>3</v>
      </c>
      <c r="AM101" t="s">
        <v>133</v>
      </c>
    </row>
    <row r="102" spans="1:39" x14ac:dyDescent="0.35">
      <c r="A102">
        <v>40</v>
      </c>
      <c r="B102" t="str" cm="1">
        <f t="array" ref="B102">_xlfn.IFS(A102&lt;=25,"18-25",A102&lt;=33,"26-33",A102&lt;=41,"34-41",A102&lt;=49,"42-49",A102&gt;49,"50 or above")</f>
        <v>34-41</v>
      </c>
      <c r="C102" t="s">
        <v>62</v>
      </c>
      <c r="D102" t="s">
        <v>116</v>
      </c>
      <c r="E102" t="s">
        <v>86</v>
      </c>
      <c r="F102" t="s">
        <v>87</v>
      </c>
      <c r="G102" t="s">
        <v>66</v>
      </c>
      <c r="H102" t="s">
        <v>66</v>
      </c>
      <c r="I102">
        <v>1</v>
      </c>
      <c r="J102" t="s">
        <v>67</v>
      </c>
      <c r="M102" t="s">
        <v>147</v>
      </c>
      <c r="P102" t="s">
        <v>67</v>
      </c>
      <c r="Q102" t="s">
        <v>98</v>
      </c>
      <c r="R102" t="s">
        <v>92</v>
      </c>
      <c r="S102" t="s">
        <v>130</v>
      </c>
      <c r="T102" t="s">
        <v>73</v>
      </c>
      <c r="U102" t="s">
        <v>74</v>
      </c>
      <c r="W102" t="s">
        <v>76</v>
      </c>
      <c r="Z102" t="s">
        <v>80</v>
      </c>
      <c r="AA102" t="s">
        <v>80</v>
      </c>
      <c r="AB102" t="s">
        <v>78</v>
      </c>
      <c r="AC102" t="s">
        <v>78</v>
      </c>
      <c r="AD102" t="s">
        <v>80</v>
      </c>
      <c r="AE102" t="s">
        <v>81</v>
      </c>
      <c r="AF102" t="s">
        <v>80</v>
      </c>
      <c r="AG102" t="s">
        <v>78</v>
      </c>
      <c r="AH102" t="s">
        <v>80</v>
      </c>
      <c r="AI102" t="s">
        <v>80</v>
      </c>
      <c r="AJ102">
        <v>4</v>
      </c>
      <c r="AK102">
        <v>5</v>
      </c>
      <c r="AL102">
        <v>4</v>
      </c>
      <c r="AM102" t="s">
        <v>133</v>
      </c>
    </row>
    <row r="103" spans="1:39" x14ac:dyDescent="0.35">
      <c r="A103">
        <v>30</v>
      </c>
      <c r="B103" t="str" cm="1">
        <f t="array" ref="B103">_xlfn.IFS(A103&lt;=25,"18-25",A103&lt;=33,"26-33",A103&lt;=41,"34-41",A103&lt;=49,"42-49",A103&gt;49,"50 or above")</f>
        <v>26-33</v>
      </c>
      <c r="C103" t="s">
        <v>62</v>
      </c>
      <c r="D103" t="s">
        <v>119</v>
      </c>
      <c r="E103" t="s">
        <v>86</v>
      </c>
      <c r="F103" t="s">
        <v>90</v>
      </c>
      <c r="G103" t="s">
        <v>66</v>
      </c>
      <c r="H103" t="s">
        <v>66</v>
      </c>
      <c r="I103">
        <v>1</v>
      </c>
      <c r="J103" t="s">
        <v>67</v>
      </c>
      <c r="L103" t="s">
        <v>69</v>
      </c>
      <c r="P103" t="s">
        <v>91</v>
      </c>
      <c r="Q103" t="s">
        <v>103</v>
      </c>
      <c r="R103" t="s">
        <v>94</v>
      </c>
      <c r="S103" t="s">
        <v>72</v>
      </c>
      <c r="T103" t="s">
        <v>99</v>
      </c>
      <c r="U103" t="s">
        <v>74</v>
      </c>
      <c r="W103" t="s">
        <v>76</v>
      </c>
      <c r="Z103" t="s">
        <v>80</v>
      </c>
      <c r="AA103" t="s">
        <v>78</v>
      </c>
      <c r="AB103" t="s">
        <v>80</v>
      </c>
      <c r="AC103" t="s">
        <v>80</v>
      </c>
      <c r="AD103" t="s">
        <v>78</v>
      </c>
      <c r="AE103" t="s">
        <v>81</v>
      </c>
      <c r="AF103" t="s">
        <v>81</v>
      </c>
      <c r="AG103" t="s">
        <v>79</v>
      </c>
      <c r="AH103" t="s">
        <v>78</v>
      </c>
      <c r="AI103" t="s">
        <v>78</v>
      </c>
      <c r="AJ103">
        <v>4</v>
      </c>
      <c r="AK103">
        <v>5</v>
      </c>
      <c r="AL103">
        <v>3</v>
      </c>
      <c r="AM103" t="s">
        <v>128</v>
      </c>
    </row>
    <row r="104" spans="1:39" x14ac:dyDescent="0.35">
      <c r="A104">
        <v>40</v>
      </c>
      <c r="B104" t="str" cm="1">
        <f t="array" ref="B104">_xlfn.IFS(A104&lt;=25,"18-25",A104&lt;=33,"26-33",A104&lt;=41,"34-41",A104&lt;=49,"42-49",A104&gt;49,"50 or above")</f>
        <v>34-41</v>
      </c>
      <c r="C104" t="s">
        <v>62</v>
      </c>
      <c r="D104" t="s">
        <v>105</v>
      </c>
      <c r="E104" t="s">
        <v>86</v>
      </c>
      <c r="F104" t="s">
        <v>102</v>
      </c>
      <c r="G104" t="s">
        <v>66</v>
      </c>
      <c r="H104" t="s">
        <v>66</v>
      </c>
      <c r="I104">
        <v>1</v>
      </c>
      <c r="J104" t="s">
        <v>67</v>
      </c>
      <c r="P104" t="s">
        <v>67</v>
      </c>
      <c r="Q104" t="s">
        <v>103</v>
      </c>
      <c r="R104" t="s">
        <v>92</v>
      </c>
      <c r="S104" t="s">
        <v>95</v>
      </c>
      <c r="T104" t="s">
        <v>99</v>
      </c>
      <c r="U104" t="s">
        <v>74</v>
      </c>
      <c r="V104" t="s">
        <v>75</v>
      </c>
      <c r="Z104" t="s">
        <v>78</v>
      </c>
      <c r="AA104" t="s">
        <v>78</v>
      </c>
      <c r="AB104" t="s">
        <v>79</v>
      </c>
      <c r="AC104" t="s">
        <v>78</v>
      </c>
      <c r="AD104" t="s">
        <v>80</v>
      </c>
      <c r="AE104" t="s">
        <v>81</v>
      </c>
      <c r="AF104" t="s">
        <v>80</v>
      </c>
      <c r="AG104" t="s">
        <v>78</v>
      </c>
      <c r="AH104" t="s">
        <v>78</v>
      </c>
      <c r="AI104" t="s">
        <v>80</v>
      </c>
      <c r="AJ104">
        <v>4</v>
      </c>
      <c r="AK104">
        <v>5</v>
      </c>
      <c r="AL104">
        <v>4</v>
      </c>
      <c r="AM104" t="s">
        <v>133</v>
      </c>
    </row>
    <row r="105" spans="1:39" x14ac:dyDescent="0.35">
      <c r="A105">
        <v>38</v>
      </c>
      <c r="B105" t="str" cm="1">
        <f t="array" ref="B105">_xlfn.IFS(A105&lt;=25,"18-25",A105&lt;=33,"26-33",A105&lt;=41,"34-41",A105&lt;=49,"42-49",A105&gt;49,"50 or above")</f>
        <v>34-41</v>
      </c>
      <c r="C105" t="s">
        <v>62</v>
      </c>
      <c r="D105" t="s">
        <v>105</v>
      </c>
      <c r="E105" t="s">
        <v>86</v>
      </c>
      <c r="F105" t="s">
        <v>90</v>
      </c>
      <c r="G105" t="s">
        <v>66</v>
      </c>
      <c r="H105" t="s">
        <v>66</v>
      </c>
      <c r="I105">
        <v>1</v>
      </c>
      <c r="J105" t="s">
        <v>67</v>
      </c>
      <c r="K105" t="s">
        <v>68</v>
      </c>
      <c r="L105" t="s">
        <v>69</v>
      </c>
      <c r="P105" t="s">
        <v>67</v>
      </c>
      <c r="Q105" t="s">
        <v>70</v>
      </c>
      <c r="R105" t="s">
        <v>94</v>
      </c>
      <c r="S105" t="s">
        <v>72</v>
      </c>
      <c r="T105" t="s">
        <v>73</v>
      </c>
      <c r="U105" t="s">
        <v>74</v>
      </c>
      <c r="W105" t="s">
        <v>76</v>
      </c>
      <c r="X105" t="s">
        <v>77</v>
      </c>
      <c r="Z105" t="s">
        <v>78</v>
      </c>
      <c r="AA105" t="s">
        <v>78</v>
      </c>
      <c r="AB105" t="s">
        <v>80</v>
      </c>
      <c r="AC105" t="s">
        <v>80</v>
      </c>
      <c r="AD105" t="s">
        <v>81</v>
      </c>
      <c r="AE105" t="s">
        <v>80</v>
      </c>
      <c r="AF105" t="s">
        <v>80</v>
      </c>
      <c r="AG105" t="s">
        <v>80</v>
      </c>
      <c r="AH105" t="s">
        <v>80</v>
      </c>
      <c r="AI105" t="s">
        <v>81</v>
      </c>
      <c r="AJ105">
        <v>4</v>
      </c>
      <c r="AK105">
        <v>3</v>
      </c>
      <c r="AL105">
        <v>4</v>
      </c>
      <c r="AM105" t="s">
        <v>128</v>
      </c>
    </row>
    <row r="106" spans="1:39" x14ac:dyDescent="0.35">
      <c r="A106">
        <v>31</v>
      </c>
      <c r="B106" t="str" cm="1">
        <f t="array" ref="B106">_xlfn.IFS(A106&lt;=25,"18-25",A106&lt;=33,"26-33",A106&lt;=41,"34-41",A106&lt;=49,"42-49",A106&gt;49,"50 or above")</f>
        <v>26-33</v>
      </c>
      <c r="C106" t="s">
        <v>62</v>
      </c>
      <c r="D106" t="s">
        <v>105</v>
      </c>
      <c r="E106" t="s">
        <v>64</v>
      </c>
      <c r="F106" t="s">
        <v>102</v>
      </c>
      <c r="G106" t="s">
        <v>66</v>
      </c>
      <c r="H106" t="s">
        <v>66</v>
      </c>
      <c r="I106">
        <v>1</v>
      </c>
      <c r="J106" t="s">
        <v>67</v>
      </c>
      <c r="K106" t="s">
        <v>68</v>
      </c>
      <c r="P106" t="s">
        <v>93</v>
      </c>
      <c r="Q106" t="s">
        <v>70</v>
      </c>
      <c r="R106" t="s">
        <v>92</v>
      </c>
      <c r="S106" t="s">
        <v>72</v>
      </c>
      <c r="T106" t="s">
        <v>73</v>
      </c>
      <c r="U106" t="s">
        <v>74</v>
      </c>
      <c r="V106" t="s">
        <v>75</v>
      </c>
      <c r="Z106" t="s">
        <v>78</v>
      </c>
      <c r="AA106" t="s">
        <v>78</v>
      </c>
      <c r="AB106" t="s">
        <v>80</v>
      </c>
      <c r="AC106" t="s">
        <v>80</v>
      </c>
      <c r="AD106" t="s">
        <v>80</v>
      </c>
      <c r="AE106" t="s">
        <v>81</v>
      </c>
      <c r="AF106" t="s">
        <v>78</v>
      </c>
      <c r="AG106" t="s">
        <v>78</v>
      </c>
      <c r="AH106" t="s">
        <v>81</v>
      </c>
      <c r="AI106" t="s">
        <v>78</v>
      </c>
      <c r="AJ106">
        <v>3</v>
      </c>
      <c r="AK106">
        <v>5</v>
      </c>
      <c r="AL106">
        <v>5</v>
      </c>
      <c r="AM106" t="s">
        <v>82</v>
      </c>
    </row>
    <row r="107" spans="1:39" x14ac:dyDescent="0.35">
      <c r="A107">
        <v>31</v>
      </c>
      <c r="B107" t="str" cm="1">
        <f t="array" ref="B107">_xlfn.IFS(A107&lt;=25,"18-25",A107&lt;=33,"26-33",A107&lt;=41,"34-41",A107&lt;=49,"42-49",A107&gt;49,"50 or above")</f>
        <v>26-33</v>
      </c>
      <c r="C107" t="s">
        <v>62</v>
      </c>
      <c r="D107" t="s">
        <v>105</v>
      </c>
      <c r="E107" t="s">
        <v>109</v>
      </c>
      <c r="F107" t="s">
        <v>90</v>
      </c>
      <c r="G107" t="s">
        <v>66</v>
      </c>
      <c r="H107" t="s">
        <v>66</v>
      </c>
      <c r="I107">
        <v>1</v>
      </c>
      <c r="J107" t="s">
        <v>67</v>
      </c>
      <c r="K107" t="s">
        <v>68</v>
      </c>
      <c r="L107" t="s">
        <v>69</v>
      </c>
      <c r="P107" t="s">
        <v>67</v>
      </c>
      <c r="Q107" t="s">
        <v>117</v>
      </c>
      <c r="R107" t="s">
        <v>71</v>
      </c>
      <c r="S107" t="s">
        <v>72</v>
      </c>
      <c r="T107" t="s">
        <v>73</v>
      </c>
      <c r="U107" t="s">
        <v>74</v>
      </c>
      <c r="Z107" t="s">
        <v>78</v>
      </c>
      <c r="AA107" t="s">
        <v>78</v>
      </c>
      <c r="AB107" t="s">
        <v>80</v>
      </c>
      <c r="AC107" t="s">
        <v>80</v>
      </c>
      <c r="AD107" t="s">
        <v>78</v>
      </c>
      <c r="AE107" t="s">
        <v>78</v>
      </c>
      <c r="AF107" t="s">
        <v>80</v>
      </c>
      <c r="AG107" t="s">
        <v>81</v>
      </c>
      <c r="AH107" t="s">
        <v>80</v>
      </c>
      <c r="AI107" t="s">
        <v>78</v>
      </c>
      <c r="AJ107">
        <v>3</v>
      </c>
      <c r="AK107">
        <v>4</v>
      </c>
      <c r="AL107">
        <v>3</v>
      </c>
      <c r="AM107" t="s">
        <v>104</v>
      </c>
    </row>
    <row r="108" spans="1:39" x14ac:dyDescent="0.35">
      <c r="A108">
        <v>40</v>
      </c>
      <c r="B108" t="str" cm="1">
        <f t="array" ref="B108">_xlfn.IFS(A108&lt;=25,"18-25",A108&lt;=33,"26-33",A108&lt;=41,"34-41",A108&lt;=49,"42-49",A108&gt;49,"50 or above")</f>
        <v>34-41</v>
      </c>
      <c r="C108" t="s">
        <v>62</v>
      </c>
      <c r="D108" t="s">
        <v>105</v>
      </c>
      <c r="E108" t="s">
        <v>86</v>
      </c>
      <c r="F108" t="s">
        <v>87</v>
      </c>
      <c r="G108" t="s">
        <v>66</v>
      </c>
      <c r="H108" t="s">
        <v>66</v>
      </c>
      <c r="I108">
        <v>1</v>
      </c>
      <c r="J108" t="s">
        <v>67</v>
      </c>
      <c r="K108" t="s">
        <v>68</v>
      </c>
      <c r="L108" t="s">
        <v>69</v>
      </c>
      <c r="P108" t="s">
        <v>67</v>
      </c>
      <c r="Q108" t="s">
        <v>70</v>
      </c>
      <c r="R108" t="s">
        <v>92</v>
      </c>
      <c r="S108" t="s">
        <v>113</v>
      </c>
      <c r="T108" t="s">
        <v>73</v>
      </c>
      <c r="U108" t="s">
        <v>74</v>
      </c>
      <c r="W108" t="s">
        <v>76</v>
      </c>
      <c r="X108" t="s">
        <v>77</v>
      </c>
      <c r="Z108" t="s">
        <v>80</v>
      </c>
      <c r="AA108" t="s">
        <v>81</v>
      </c>
      <c r="AB108" t="s">
        <v>81</v>
      </c>
      <c r="AC108" t="s">
        <v>80</v>
      </c>
      <c r="AD108" t="s">
        <v>78</v>
      </c>
      <c r="AE108" t="s">
        <v>80</v>
      </c>
      <c r="AF108" t="s">
        <v>81</v>
      </c>
      <c r="AG108" t="s">
        <v>80</v>
      </c>
      <c r="AH108" t="s">
        <v>78</v>
      </c>
      <c r="AI108" t="s">
        <v>80</v>
      </c>
      <c r="AJ108">
        <v>3</v>
      </c>
      <c r="AK108">
        <v>4</v>
      </c>
      <c r="AL108">
        <v>5</v>
      </c>
      <c r="AM108" t="s">
        <v>104</v>
      </c>
    </row>
    <row r="109" spans="1:39" x14ac:dyDescent="0.35">
      <c r="A109">
        <v>18</v>
      </c>
      <c r="B109" t="str" cm="1">
        <f t="array" ref="B109">_xlfn.IFS(A109&lt;=25,"18-25",A109&lt;=33,"26-33",A109&lt;=41,"34-41",A109&lt;=49,"42-49",A109&gt;49,"50 or above")</f>
        <v>18-25</v>
      </c>
      <c r="C109" t="s">
        <v>62</v>
      </c>
      <c r="D109" t="s">
        <v>63</v>
      </c>
      <c r="E109" t="s">
        <v>64</v>
      </c>
      <c r="F109" t="s">
        <v>90</v>
      </c>
      <c r="G109" t="s">
        <v>66</v>
      </c>
      <c r="H109" t="s">
        <v>66</v>
      </c>
      <c r="I109">
        <v>1</v>
      </c>
      <c r="J109" t="s">
        <v>67</v>
      </c>
      <c r="K109" t="s">
        <v>68</v>
      </c>
      <c r="L109" t="s">
        <v>69</v>
      </c>
      <c r="P109" t="s">
        <v>67</v>
      </c>
      <c r="Q109" t="s">
        <v>98</v>
      </c>
      <c r="R109" t="s">
        <v>92</v>
      </c>
      <c r="S109" t="s">
        <v>113</v>
      </c>
      <c r="T109" t="s">
        <v>99</v>
      </c>
      <c r="U109" t="s">
        <v>74</v>
      </c>
      <c r="V109" t="s">
        <v>75</v>
      </c>
      <c r="W109" t="s">
        <v>76</v>
      </c>
      <c r="X109" t="s">
        <v>77</v>
      </c>
      <c r="Z109" t="s">
        <v>78</v>
      </c>
      <c r="AA109" t="s">
        <v>80</v>
      </c>
      <c r="AB109" t="s">
        <v>80</v>
      </c>
      <c r="AC109" t="s">
        <v>80</v>
      </c>
      <c r="AD109" t="s">
        <v>78</v>
      </c>
      <c r="AE109" t="s">
        <v>80</v>
      </c>
      <c r="AF109" t="s">
        <v>81</v>
      </c>
      <c r="AG109" t="s">
        <v>80</v>
      </c>
      <c r="AH109" t="s">
        <v>78</v>
      </c>
      <c r="AI109" t="s">
        <v>78</v>
      </c>
      <c r="AJ109">
        <v>3</v>
      </c>
      <c r="AK109">
        <v>4</v>
      </c>
      <c r="AL109">
        <v>4</v>
      </c>
      <c r="AM109" t="s">
        <v>82</v>
      </c>
    </row>
    <row r="110" spans="1:39" x14ac:dyDescent="0.35">
      <c r="A110">
        <v>29</v>
      </c>
      <c r="B110" t="str" cm="1">
        <f t="array" ref="B110">_xlfn.IFS(A110&lt;=25,"18-25",A110&lt;=33,"26-33",A110&lt;=41,"34-41",A110&lt;=49,"42-49",A110&gt;49,"50 or above")</f>
        <v>26-33</v>
      </c>
      <c r="C110" t="s">
        <v>62</v>
      </c>
      <c r="D110" t="s">
        <v>63</v>
      </c>
      <c r="E110" t="s">
        <v>121</v>
      </c>
      <c r="F110" t="s">
        <v>90</v>
      </c>
      <c r="G110" t="s">
        <v>66</v>
      </c>
      <c r="H110" t="s">
        <v>66</v>
      </c>
      <c r="I110">
        <v>1</v>
      </c>
      <c r="J110" t="s">
        <v>67</v>
      </c>
      <c r="K110" t="s">
        <v>68</v>
      </c>
      <c r="L110" t="s">
        <v>69</v>
      </c>
      <c r="P110" t="s">
        <v>67</v>
      </c>
      <c r="Q110" t="s">
        <v>70</v>
      </c>
      <c r="R110" t="s">
        <v>92</v>
      </c>
      <c r="S110" t="s">
        <v>72</v>
      </c>
      <c r="T110" t="s">
        <v>99</v>
      </c>
      <c r="V110" t="s">
        <v>96</v>
      </c>
      <c r="W110" t="s">
        <v>76</v>
      </c>
      <c r="Z110" t="s">
        <v>80</v>
      </c>
      <c r="AA110" t="s">
        <v>78</v>
      </c>
      <c r="AB110" t="s">
        <v>80</v>
      </c>
      <c r="AC110" t="s">
        <v>81</v>
      </c>
      <c r="AD110" t="s">
        <v>80</v>
      </c>
      <c r="AE110" t="s">
        <v>80</v>
      </c>
      <c r="AF110" t="s">
        <v>78</v>
      </c>
      <c r="AG110" t="s">
        <v>80</v>
      </c>
      <c r="AH110" t="s">
        <v>81</v>
      </c>
      <c r="AI110" t="s">
        <v>81</v>
      </c>
      <c r="AJ110">
        <v>3</v>
      </c>
      <c r="AK110">
        <v>5</v>
      </c>
      <c r="AL110">
        <v>2</v>
      </c>
      <c r="AM110" t="s">
        <v>115</v>
      </c>
    </row>
    <row r="111" spans="1:39" x14ac:dyDescent="0.35">
      <c r="A111">
        <v>25</v>
      </c>
      <c r="B111" t="str" cm="1">
        <f t="array" ref="B111">_xlfn.IFS(A111&lt;=25,"18-25",A111&lt;=33,"26-33",A111&lt;=41,"34-41",A111&lt;=49,"42-49",A111&gt;49,"50 or above")</f>
        <v>18-25</v>
      </c>
      <c r="C111" t="s">
        <v>62</v>
      </c>
      <c r="D111" t="s">
        <v>63</v>
      </c>
      <c r="E111" t="s">
        <v>64</v>
      </c>
      <c r="F111" t="s">
        <v>87</v>
      </c>
      <c r="G111" t="s">
        <v>66</v>
      </c>
      <c r="H111" t="s">
        <v>66</v>
      </c>
      <c r="I111">
        <v>1</v>
      </c>
      <c r="J111" t="s">
        <v>67</v>
      </c>
      <c r="L111" t="s">
        <v>69</v>
      </c>
      <c r="P111" t="s">
        <v>67</v>
      </c>
      <c r="Q111" t="s">
        <v>98</v>
      </c>
      <c r="R111" t="s">
        <v>92</v>
      </c>
      <c r="S111" t="s">
        <v>72</v>
      </c>
      <c r="T111" t="s">
        <v>73</v>
      </c>
      <c r="U111" t="s">
        <v>74</v>
      </c>
      <c r="V111" t="s">
        <v>75</v>
      </c>
      <c r="W111" t="s">
        <v>76</v>
      </c>
      <c r="X111" t="s">
        <v>77</v>
      </c>
      <c r="Z111" t="s">
        <v>80</v>
      </c>
      <c r="AA111" t="s">
        <v>81</v>
      </c>
      <c r="AB111" t="s">
        <v>81</v>
      </c>
      <c r="AC111" t="s">
        <v>80</v>
      </c>
      <c r="AD111" t="s">
        <v>80</v>
      </c>
      <c r="AE111" t="s">
        <v>80</v>
      </c>
      <c r="AF111" t="s">
        <v>78</v>
      </c>
      <c r="AG111" t="s">
        <v>80</v>
      </c>
      <c r="AH111" t="s">
        <v>80</v>
      </c>
      <c r="AI111" t="s">
        <v>81</v>
      </c>
      <c r="AJ111">
        <v>4</v>
      </c>
      <c r="AK111">
        <v>5</v>
      </c>
      <c r="AL111">
        <v>2</v>
      </c>
      <c r="AM111" t="s">
        <v>115</v>
      </c>
    </row>
    <row r="112" spans="1:39" x14ac:dyDescent="0.35">
      <c r="A112">
        <v>18</v>
      </c>
      <c r="B112" t="str" cm="1">
        <f t="array" ref="B112">_xlfn.IFS(A112&lt;=25,"18-25",A112&lt;=33,"26-33",A112&lt;=41,"34-41",A112&lt;=49,"42-49",A112&gt;49,"50 or above")</f>
        <v>18-25</v>
      </c>
      <c r="C112" t="s">
        <v>62</v>
      </c>
      <c r="D112" t="s">
        <v>63</v>
      </c>
      <c r="E112" t="s">
        <v>64</v>
      </c>
      <c r="F112" t="s">
        <v>90</v>
      </c>
      <c r="G112" t="s">
        <v>66</v>
      </c>
      <c r="H112" t="s">
        <v>66</v>
      </c>
      <c r="I112">
        <v>1</v>
      </c>
      <c r="J112" t="s">
        <v>67</v>
      </c>
      <c r="K112" t="s">
        <v>68</v>
      </c>
      <c r="L112" t="s">
        <v>69</v>
      </c>
      <c r="P112" t="s">
        <v>67</v>
      </c>
      <c r="Q112" t="s">
        <v>103</v>
      </c>
      <c r="R112" t="s">
        <v>92</v>
      </c>
      <c r="S112" t="s">
        <v>107</v>
      </c>
      <c r="T112" t="s">
        <v>73</v>
      </c>
      <c r="U112" t="s">
        <v>74</v>
      </c>
      <c r="V112" t="s">
        <v>75</v>
      </c>
      <c r="W112" t="s">
        <v>76</v>
      </c>
      <c r="X112" t="s">
        <v>77</v>
      </c>
      <c r="Y112" t="s">
        <v>108</v>
      </c>
      <c r="Z112" t="s">
        <v>80</v>
      </c>
      <c r="AA112" t="s">
        <v>78</v>
      </c>
      <c r="AB112" t="s">
        <v>80</v>
      </c>
      <c r="AC112" t="s">
        <v>78</v>
      </c>
      <c r="AD112" t="s">
        <v>78</v>
      </c>
      <c r="AE112" t="s">
        <v>78</v>
      </c>
      <c r="AF112" t="s">
        <v>80</v>
      </c>
      <c r="AG112" t="s">
        <v>80</v>
      </c>
      <c r="AH112" t="s">
        <v>78</v>
      </c>
      <c r="AI112" t="s">
        <v>78</v>
      </c>
      <c r="AJ112">
        <v>5</v>
      </c>
      <c r="AK112">
        <v>5</v>
      </c>
      <c r="AL112">
        <v>5</v>
      </c>
      <c r="AM112" t="s">
        <v>104</v>
      </c>
    </row>
    <row r="113" spans="1:39" x14ac:dyDescent="0.35">
      <c r="A113">
        <v>29</v>
      </c>
      <c r="B113" t="str" cm="1">
        <f t="array" ref="B113">_xlfn.IFS(A113&lt;=25,"18-25",A113&lt;=33,"26-33",A113&lt;=41,"34-41",A113&lt;=49,"42-49",A113&gt;49,"50 or above")</f>
        <v>26-33</v>
      </c>
      <c r="C113" t="s">
        <v>62</v>
      </c>
      <c r="D113" t="s">
        <v>63</v>
      </c>
      <c r="E113" t="s">
        <v>86</v>
      </c>
      <c r="F113" t="s">
        <v>87</v>
      </c>
      <c r="G113" t="s">
        <v>66</v>
      </c>
      <c r="H113" t="s">
        <v>66</v>
      </c>
      <c r="I113">
        <v>1</v>
      </c>
      <c r="J113" t="s">
        <v>67</v>
      </c>
      <c r="K113" t="s">
        <v>68</v>
      </c>
      <c r="L113" t="s">
        <v>69</v>
      </c>
      <c r="P113" t="s">
        <v>93</v>
      </c>
      <c r="Q113" t="s">
        <v>70</v>
      </c>
      <c r="R113" t="s">
        <v>71</v>
      </c>
      <c r="S113" t="s">
        <v>72</v>
      </c>
      <c r="T113" t="s">
        <v>99</v>
      </c>
      <c r="U113" t="s">
        <v>74</v>
      </c>
      <c r="Z113" t="s">
        <v>78</v>
      </c>
      <c r="AA113" t="s">
        <v>80</v>
      </c>
      <c r="AB113" t="s">
        <v>81</v>
      </c>
      <c r="AC113" t="s">
        <v>81</v>
      </c>
      <c r="AD113" t="s">
        <v>79</v>
      </c>
      <c r="AE113" t="s">
        <v>80</v>
      </c>
      <c r="AF113" t="s">
        <v>80</v>
      </c>
      <c r="AG113" t="s">
        <v>80</v>
      </c>
      <c r="AH113" t="s">
        <v>81</v>
      </c>
      <c r="AI113" t="s">
        <v>78</v>
      </c>
      <c r="AJ113">
        <v>5</v>
      </c>
      <c r="AK113">
        <v>5</v>
      </c>
      <c r="AL113">
        <v>5</v>
      </c>
      <c r="AM113" t="s">
        <v>104</v>
      </c>
    </row>
    <row r="114" spans="1:39" x14ac:dyDescent="0.35">
      <c r="A114">
        <v>30</v>
      </c>
      <c r="B114" t="str" cm="1">
        <f t="array" ref="B114">_xlfn.IFS(A114&lt;=25,"18-25",A114&lt;=33,"26-33",A114&lt;=41,"34-41",A114&lt;=49,"42-49",A114&gt;49,"50 or above")</f>
        <v>26-33</v>
      </c>
      <c r="C114" t="s">
        <v>62</v>
      </c>
      <c r="D114" t="s">
        <v>105</v>
      </c>
      <c r="E114" t="s">
        <v>86</v>
      </c>
      <c r="F114" t="s">
        <v>90</v>
      </c>
      <c r="G114" t="s">
        <v>66</v>
      </c>
      <c r="H114" t="s">
        <v>66</v>
      </c>
      <c r="I114">
        <v>1</v>
      </c>
      <c r="J114" t="s">
        <v>67</v>
      </c>
      <c r="K114" t="s">
        <v>68</v>
      </c>
      <c r="L114" t="s">
        <v>69</v>
      </c>
      <c r="P114" t="s">
        <v>67</v>
      </c>
      <c r="Q114" t="s">
        <v>70</v>
      </c>
      <c r="R114" t="s">
        <v>92</v>
      </c>
      <c r="S114" t="s">
        <v>72</v>
      </c>
      <c r="T114" t="s">
        <v>73</v>
      </c>
      <c r="V114" t="s">
        <v>96</v>
      </c>
      <c r="Z114" t="s">
        <v>80</v>
      </c>
      <c r="AA114" t="s">
        <v>81</v>
      </c>
      <c r="AB114" t="s">
        <v>81</v>
      </c>
      <c r="AC114" t="s">
        <v>78</v>
      </c>
      <c r="AD114" t="s">
        <v>80</v>
      </c>
      <c r="AE114" t="s">
        <v>78</v>
      </c>
      <c r="AF114" t="s">
        <v>80</v>
      </c>
      <c r="AG114" t="s">
        <v>81</v>
      </c>
      <c r="AH114" t="s">
        <v>80</v>
      </c>
      <c r="AI114" t="s">
        <v>78</v>
      </c>
      <c r="AJ114">
        <v>4</v>
      </c>
      <c r="AK114">
        <v>4</v>
      </c>
      <c r="AL114">
        <v>4</v>
      </c>
      <c r="AM114" t="s">
        <v>82</v>
      </c>
    </row>
    <row r="115" spans="1:39" x14ac:dyDescent="0.35">
      <c r="A115">
        <v>70</v>
      </c>
      <c r="B115" t="str" cm="1">
        <f t="array" ref="B115">_xlfn.IFS(A115&lt;=25,"18-25",A115&lt;=33,"26-33",A115&lt;=41,"34-41",A115&lt;=49,"42-49",A115&gt;49,"50 or above")</f>
        <v>50 or above</v>
      </c>
      <c r="C115" t="s">
        <v>62</v>
      </c>
      <c r="D115" t="s">
        <v>63</v>
      </c>
      <c r="E115" t="s">
        <v>86</v>
      </c>
      <c r="F115" t="s">
        <v>65</v>
      </c>
      <c r="G115" t="s">
        <v>66</v>
      </c>
      <c r="H115" t="s">
        <v>66</v>
      </c>
      <c r="I115">
        <v>1</v>
      </c>
      <c r="J115" t="s">
        <v>67</v>
      </c>
      <c r="K115" t="s">
        <v>68</v>
      </c>
      <c r="L115" t="s">
        <v>69</v>
      </c>
      <c r="P115" t="s">
        <v>67</v>
      </c>
      <c r="Q115" t="s">
        <v>70</v>
      </c>
      <c r="R115" t="s">
        <v>92</v>
      </c>
      <c r="S115" t="s">
        <v>95</v>
      </c>
      <c r="T115" t="s">
        <v>99</v>
      </c>
      <c r="U115" t="s">
        <v>74</v>
      </c>
      <c r="V115" t="s">
        <v>75</v>
      </c>
      <c r="W115" t="s">
        <v>76</v>
      </c>
      <c r="X115" t="s">
        <v>77</v>
      </c>
      <c r="Z115" t="s">
        <v>78</v>
      </c>
      <c r="AA115" t="s">
        <v>78</v>
      </c>
      <c r="AB115" t="s">
        <v>78</v>
      </c>
      <c r="AC115" t="s">
        <v>80</v>
      </c>
      <c r="AD115" t="s">
        <v>78</v>
      </c>
      <c r="AE115" t="s">
        <v>80</v>
      </c>
      <c r="AF115" t="s">
        <v>80</v>
      </c>
      <c r="AG115" t="s">
        <v>80</v>
      </c>
      <c r="AH115" t="s">
        <v>81</v>
      </c>
      <c r="AI115" t="s">
        <v>78</v>
      </c>
      <c r="AJ115">
        <v>4</v>
      </c>
      <c r="AK115">
        <v>4</v>
      </c>
      <c r="AL115">
        <v>4</v>
      </c>
      <c r="AM115" t="s">
        <v>115</v>
      </c>
    </row>
    <row r="116" spans="1:39" x14ac:dyDescent="0.35">
      <c r="A116">
        <v>31</v>
      </c>
      <c r="B116" t="str" cm="1">
        <f t="array" ref="B116">_xlfn.IFS(A116&lt;=25,"18-25",A116&lt;=33,"26-33",A116&lt;=41,"34-41",A116&lt;=49,"42-49",A116&gt;49,"50 or above")</f>
        <v>26-33</v>
      </c>
      <c r="C116" t="s">
        <v>62</v>
      </c>
      <c r="D116" t="s">
        <v>105</v>
      </c>
      <c r="E116" t="s">
        <v>109</v>
      </c>
      <c r="F116" t="s">
        <v>87</v>
      </c>
      <c r="G116" t="s">
        <v>66</v>
      </c>
      <c r="H116" t="s">
        <v>66</v>
      </c>
      <c r="I116">
        <v>1</v>
      </c>
      <c r="J116" t="s">
        <v>67</v>
      </c>
      <c r="O116" t="s">
        <v>111</v>
      </c>
      <c r="P116" t="s">
        <v>67</v>
      </c>
      <c r="Q116" t="s">
        <v>70</v>
      </c>
      <c r="R116" t="s">
        <v>92</v>
      </c>
      <c r="S116" t="s">
        <v>107</v>
      </c>
      <c r="T116" t="s">
        <v>73</v>
      </c>
      <c r="V116" t="s">
        <v>96</v>
      </c>
      <c r="Z116" t="s">
        <v>78</v>
      </c>
      <c r="AA116" t="s">
        <v>80</v>
      </c>
      <c r="AB116" t="s">
        <v>81</v>
      </c>
      <c r="AC116" t="s">
        <v>81</v>
      </c>
      <c r="AD116" t="s">
        <v>81</v>
      </c>
      <c r="AE116" t="s">
        <v>78</v>
      </c>
      <c r="AF116" t="s">
        <v>78</v>
      </c>
      <c r="AG116" t="s">
        <v>80</v>
      </c>
      <c r="AH116" t="s">
        <v>79</v>
      </c>
      <c r="AI116" t="s">
        <v>80</v>
      </c>
      <c r="AJ116">
        <v>4</v>
      </c>
      <c r="AK116">
        <v>3</v>
      </c>
      <c r="AL116">
        <v>4</v>
      </c>
      <c r="AM116" t="s">
        <v>82</v>
      </c>
    </row>
    <row r="117" spans="1:39" x14ac:dyDescent="0.35">
      <c r="A117">
        <v>70</v>
      </c>
      <c r="B117" t="str" cm="1">
        <f t="array" ref="B117">_xlfn.IFS(A117&lt;=25,"18-25",A117&lt;=33,"26-33",A117&lt;=41,"34-41",A117&lt;=49,"42-49",A117&gt;49,"50 or above")</f>
        <v>50 or above</v>
      </c>
      <c r="C117" t="s">
        <v>62</v>
      </c>
      <c r="D117" t="s">
        <v>120</v>
      </c>
      <c r="E117" t="s">
        <v>136</v>
      </c>
      <c r="F117" t="s">
        <v>102</v>
      </c>
      <c r="G117" t="s">
        <v>66</v>
      </c>
      <c r="H117" t="s">
        <v>66</v>
      </c>
      <c r="I117">
        <v>1</v>
      </c>
      <c r="J117" t="s">
        <v>67</v>
      </c>
      <c r="P117" t="s">
        <v>67</v>
      </c>
      <c r="Q117" t="s">
        <v>70</v>
      </c>
      <c r="R117" t="s">
        <v>71</v>
      </c>
      <c r="S117" t="s">
        <v>95</v>
      </c>
      <c r="T117" t="s">
        <v>99</v>
      </c>
      <c r="U117" t="s">
        <v>74</v>
      </c>
      <c r="V117" t="s">
        <v>75</v>
      </c>
      <c r="W117" t="s">
        <v>76</v>
      </c>
      <c r="X117" t="s">
        <v>77</v>
      </c>
      <c r="Z117" t="s">
        <v>80</v>
      </c>
      <c r="AA117" t="s">
        <v>80</v>
      </c>
      <c r="AB117" t="s">
        <v>80</v>
      </c>
      <c r="AC117" t="s">
        <v>80</v>
      </c>
      <c r="AD117" t="s">
        <v>80</v>
      </c>
      <c r="AE117" t="s">
        <v>80</v>
      </c>
      <c r="AF117" t="s">
        <v>80</v>
      </c>
      <c r="AG117" t="s">
        <v>80</v>
      </c>
      <c r="AH117" t="s">
        <v>78</v>
      </c>
      <c r="AI117" t="s">
        <v>78</v>
      </c>
      <c r="AJ117">
        <v>3</v>
      </c>
      <c r="AK117">
        <v>5</v>
      </c>
      <c r="AL117">
        <v>4</v>
      </c>
      <c r="AM117" t="s">
        <v>97</v>
      </c>
    </row>
    <row r="118" spans="1:39" x14ac:dyDescent="0.35">
      <c r="A118">
        <v>27</v>
      </c>
      <c r="B118" t="str" cm="1">
        <f t="array" ref="B118">_xlfn.IFS(A118&lt;=25,"18-25",A118&lt;=33,"26-33",A118&lt;=41,"34-41",A118&lt;=49,"42-49",A118&gt;49,"50 or above")</f>
        <v>26-33</v>
      </c>
      <c r="C118" t="s">
        <v>62</v>
      </c>
      <c r="D118" t="s">
        <v>105</v>
      </c>
      <c r="E118" t="s">
        <v>86</v>
      </c>
      <c r="F118" t="s">
        <v>87</v>
      </c>
      <c r="G118" t="s">
        <v>66</v>
      </c>
      <c r="H118" t="s">
        <v>66</v>
      </c>
      <c r="I118">
        <v>1</v>
      </c>
      <c r="L118" t="s">
        <v>91</v>
      </c>
      <c r="P118" t="s">
        <v>67</v>
      </c>
      <c r="Q118" t="s">
        <v>70</v>
      </c>
      <c r="R118" t="s">
        <v>71</v>
      </c>
      <c r="S118" t="s">
        <v>72</v>
      </c>
      <c r="T118" t="s">
        <v>73</v>
      </c>
      <c r="U118" t="s">
        <v>74</v>
      </c>
      <c r="V118" t="s">
        <v>75</v>
      </c>
      <c r="W118" t="s">
        <v>76</v>
      </c>
      <c r="X118" t="s">
        <v>77</v>
      </c>
      <c r="Z118" t="s">
        <v>78</v>
      </c>
      <c r="AA118" t="s">
        <v>80</v>
      </c>
      <c r="AB118" t="s">
        <v>81</v>
      </c>
      <c r="AC118" t="s">
        <v>80</v>
      </c>
      <c r="AD118" t="s">
        <v>81</v>
      </c>
      <c r="AE118" t="s">
        <v>80</v>
      </c>
      <c r="AF118" t="s">
        <v>79</v>
      </c>
      <c r="AG118" t="s">
        <v>80</v>
      </c>
      <c r="AH118" t="s">
        <v>81</v>
      </c>
      <c r="AI118" t="s">
        <v>80</v>
      </c>
      <c r="AJ118">
        <v>5</v>
      </c>
      <c r="AK118">
        <v>5</v>
      </c>
      <c r="AL118">
        <v>2</v>
      </c>
      <c r="AM118" t="s">
        <v>115</v>
      </c>
    </row>
    <row r="119" spans="1:39" x14ac:dyDescent="0.35">
      <c r="A119">
        <v>56</v>
      </c>
      <c r="B119" t="str" cm="1">
        <f t="array" ref="B119">_xlfn.IFS(A119&lt;=25,"18-25",A119&lt;=33,"26-33",A119&lt;=41,"34-41",A119&lt;=49,"42-49",A119&gt;49,"50 or above")</f>
        <v>50 or above</v>
      </c>
      <c r="C119" t="s">
        <v>62</v>
      </c>
      <c r="D119" t="s">
        <v>116</v>
      </c>
      <c r="E119" t="s">
        <v>86</v>
      </c>
      <c r="F119" t="s">
        <v>87</v>
      </c>
      <c r="G119" t="s">
        <v>66</v>
      </c>
      <c r="H119" t="s">
        <v>66</v>
      </c>
      <c r="I119">
        <v>1</v>
      </c>
      <c r="J119" t="s">
        <v>67</v>
      </c>
      <c r="K119" t="s">
        <v>68</v>
      </c>
      <c r="P119" t="s">
        <v>67</v>
      </c>
      <c r="Q119" t="s">
        <v>117</v>
      </c>
      <c r="R119" t="s">
        <v>94</v>
      </c>
      <c r="S119" t="s">
        <v>95</v>
      </c>
      <c r="T119" t="s">
        <v>99</v>
      </c>
      <c r="U119" t="s">
        <v>74</v>
      </c>
      <c r="V119" t="s">
        <v>75</v>
      </c>
      <c r="W119" t="s">
        <v>76</v>
      </c>
      <c r="X119" t="s">
        <v>77</v>
      </c>
      <c r="Z119" t="s">
        <v>78</v>
      </c>
      <c r="AA119" t="s">
        <v>80</v>
      </c>
      <c r="AB119" t="s">
        <v>80</v>
      </c>
      <c r="AC119" t="s">
        <v>80</v>
      </c>
      <c r="AD119" t="s">
        <v>80</v>
      </c>
      <c r="AE119" t="s">
        <v>80</v>
      </c>
      <c r="AF119" t="s">
        <v>80</v>
      </c>
      <c r="AG119" t="s">
        <v>78</v>
      </c>
      <c r="AH119" t="s">
        <v>78</v>
      </c>
      <c r="AI119" t="s">
        <v>80</v>
      </c>
      <c r="AJ119">
        <v>5</v>
      </c>
      <c r="AK119">
        <v>4</v>
      </c>
      <c r="AL119">
        <v>3</v>
      </c>
      <c r="AM119" t="s">
        <v>133</v>
      </c>
    </row>
    <row r="120" spans="1:39" x14ac:dyDescent="0.35">
      <c r="A120">
        <v>23</v>
      </c>
      <c r="B120" t="str" cm="1">
        <f t="array" ref="B120">_xlfn.IFS(A120&lt;=25,"18-25",A120&lt;=33,"26-33",A120&lt;=41,"34-41",A120&lt;=49,"42-49",A120&gt;49,"50 or above")</f>
        <v>18-25</v>
      </c>
      <c r="C120" t="s">
        <v>62</v>
      </c>
      <c r="D120" t="s">
        <v>63</v>
      </c>
      <c r="E120" t="s">
        <v>86</v>
      </c>
      <c r="F120" t="s">
        <v>87</v>
      </c>
      <c r="G120" t="s">
        <v>66</v>
      </c>
      <c r="H120" t="s">
        <v>66</v>
      </c>
      <c r="I120">
        <v>1</v>
      </c>
      <c r="J120" t="s">
        <v>67</v>
      </c>
      <c r="K120" t="s">
        <v>68</v>
      </c>
      <c r="L120" t="s">
        <v>69</v>
      </c>
      <c r="P120" t="s">
        <v>67</v>
      </c>
      <c r="Q120" t="s">
        <v>70</v>
      </c>
      <c r="R120" t="s">
        <v>92</v>
      </c>
      <c r="S120" t="s">
        <v>107</v>
      </c>
      <c r="T120" t="s">
        <v>73</v>
      </c>
      <c r="U120" t="s">
        <v>74</v>
      </c>
      <c r="V120" t="s">
        <v>75</v>
      </c>
      <c r="W120" t="s">
        <v>76</v>
      </c>
      <c r="X120" t="s">
        <v>77</v>
      </c>
      <c r="Z120" t="s">
        <v>78</v>
      </c>
      <c r="AA120" t="s">
        <v>78</v>
      </c>
      <c r="AB120" t="s">
        <v>78</v>
      </c>
      <c r="AC120" t="s">
        <v>81</v>
      </c>
      <c r="AD120" t="s">
        <v>81</v>
      </c>
      <c r="AE120" t="s">
        <v>78</v>
      </c>
      <c r="AF120" t="s">
        <v>78</v>
      </c>
      <c r="AG120" t="s">
        <v>81</v>
      </c>
      <c r="AH120" t="s">
        <v>80</v>
      </c>
      <c r="AI120" t="s">
        <v>80</v>
      </c>
      <c r="AJ120">
        <v>5</v>
      </c>
      <c r="AK120">
        <v>3</v>
      </c>
      <c r="AL120">
        <v>5</v>
      </c>
      <c r="AM120" t="s">
        <v>82</v>
      </c>
    </row>
    <row r="121" spans="1:39" x14ac:dyDescent="0.35">
      <c r="A121">
        <v>27</v>
      </c>
      <c r="B121" t="str" cm="1">
        <f t="array" ref="B121">_xlfn.IFS(A121&lt;=25,"18-25",A121&lt;=33,"26-33",A121&lt;=41,"34-41",A121&lt;=49,"42-49",A121&gt;49,"50 or above")</f>
        <v>26-33</v>
      </c>
      <c r="C121" t="s">
        <v>62</v>
      </c>
      <c r="D121" t="s">
        <v>63</v>
      </c>
      <c r="E121" t="s">
        <v>109</v>
      </c>
      <c r="F121" t="s">
        <v>87</v>
      </c>
      <c r="G121" t="s">
        <v>66</v>
      </c>
      <c r="H121" t="s">
        <v>66</v>
      </c>
      <c r="I121">
        <v>1</v>
      </c>
      <c r="J121" t="s">
        <v>67</v>
      </c>
      <c r="K121" t="s">
        <v>68</v>
      </c>
      <c r="P121" t="s">
        <v>93</v>
      </c>
      <c r="Q121" t="s">
        <v>103</v>
      </c>
      <c r="R121" t="s">
        <v>92</v>
      </c>
      <c r="S121" t="s">
        <v>107</v>
      </c>
      <c r="T121" t="s">
        <v>73</v>
      </c>
      <c r="U121" t="s">
        <v>74</v>
      </c>
      <c r="V121" t="s">
        <v>75</v>
      </c>
      <c r="Z121" t="s">
        <v>78</v>
      </c>
      <c r="AA121" t="s">
        <v>81</v>
      </c>
      <c r="AB121" t="s">
        <v>81</v>
      </c>
      <c r="AC121" t="s">
        <v>80</v>
      </c>
      <c r="AD121" t="s">
        <v>79</v>
      </c>
      <c r="AE121" t="s">
        <v>80</v>
      </c>
      <c r="AF121" t="s">
        <v>80</v>
      </c>
      <c r="AG121" t="s">
        <v>81</v>
      </c>
      <c r="AH121" t="s">
        <v>78</v>
      </c>
      <c r="AI121" t="s">
        <v>80</v>
      </c>
      <c r="AJ121">
        <v>3</v>
      </c>
      <c r="AK121">
        <v>5</v>
      </c>
      <c r="AL121">
        <v>5</v>
      </c>
      <c r="AM121" t="s">
        <v>115</v>
      </c>
    </row>
    <row r="122" spans="1:39" x14ac:dyDescent="0.35">
      <c r="A122">
        <v>56</v>
      </c>
      <c r="B122" t="str" cm="1">
        <f t="array" ref="B122">_xlfn.IFS(A122&lt;=25,"18-25",A122&lt;=33,"26-33",A122&lt;=41,"34-41",A122&lt;=49,"42-49",A122&gt;49,"50 or above")</f>
        <v>50 or above</v>
      </c>
      <c r="C122" t="s">
        <v>62</v>
      </c>
      <c r="D122" t="s">
        <v>105</v>
      </c>
      <c r="E122" t="s">
        <v>109</v>
      </c>
      <c r="F122" t="s">
        <v>87</v>
      </c>
      <c r="G122" t="s">
        <v>66</v>
      </c>
      <c r="H122" t="s">
        <v>66</v>
      </c>
      <c r="I122">
        <v>1</v>
      </c>
      <c r="K122" t="s">
        <v>93</v>
      </c>
      <c r="L122" t="s">
        <v>69</v>
      </c>
      <c r="P122" t="s">
        <v>91</v>
      </c>
      <c r="Q122" t="s">
        <v>70</v>
      </c>
      <c r="R122" t="s">
        <v>94</v>
      </c>
      <c r="S122" t="s">
        <v>113</v>
      </c>
      <c r="T122" t="s">
        <v>99</v>
      </c>
      <c r="U122" t="s">
        <v>74</v>
      </c>
      <c r="Z122" t="s">
        <v>81</v>
      </c>
      <c r="AA122" t="s">
        <v>81</v>
      </c>
      <c r="AB122" t="s">
        <v>78</v>
      </c>
      <c r="AC122" t="s">
        <v>81</v>
      </c>
      <c r="AD122" t="s">
        <v>78</v>
      </c>
      <c r="AE122" t="s">
        <v>80</v>
      </c>
      <c r="AF122" t="s">
        <v>79</v>
      </c>
      <c r="AG122" t="s">
        <v>80</v>
      </c>
      <c r="AH122" t="s">
        <v>81</v>
      </c>
      <c r="AI122" t="s">
        <v>81</v>
      </c>
      <c r="AJ122">
        <v>5</v>
      </c>
      <c r="AK122">
        <v>4</v>
      </c>
      <c r="AL122">
        <v>4</v>
      </c>
      <c r="AM122" t="s">
        <v>128</v>
      </c>
    </row>
    <row r="123" spans="1:39" x14ac:dyDescent="0.35">
      <c r="A123">
        <v>26</v>
      </c>
      <c r="B123" t="str" cm="1">
        <f t="array" ref="B123">_xlfn.IFS(A123&lt;=25,"18-25",A123&lt;=33,"26-33",A123&lt;=41,"34-41",A123&lt;=49,"42-49",A123&gt;49,"50 or above")</f>
        <v>26-33</v>
      </c>
      <c r="C123" t="s">
        <v>62</v>
      </c>
      <c r="D123" t="s">
        <v>105</v>
      </c>
      <c r="E123" t="s">
        <v>86</v>
      </c>
      <c r="F123" t="s">
        <v>87</v>
      </c>
      <c r="G123" t="s">
        <v>66</v>
      </c>
      <c r="H123" t="s">
        <v>66</v>
      </c>
      <c r="I123">
        <v>1</v>
      </c>
      <c r="J123" t="s">
        <v>67</v>
      </c>
      <c r="K123" t="s">
        <v>68</v>
      </c>
      <c r="L123" t="s">
        <v>69</v>
      </c>
      <c r="P123" t="s">
        <v>93</v>
      </c>
      <c r="Q123" t="s">
        <v>103</v>
      </c>
      <c r="R123" t="s">
        <v>92</v>
      </c>
      <c r="S123" t="s">
        <v>95</v>
      </c>
      <c r="T123" t="s">
        <v>73</v>
      </c>
      <c r="V123" t="s">
        <v>96</v>
      </c>
      <c r="W123" t="s">
        <v>76</v>
      </c>
      <c r="Z123" t="s">
        <v>78</v>
      </c>
      <c r="AA123" t="s">
        <v>80</v>
      </c>
      <c r="AB123" t="s">
        <v>80</v>
      </c>
      <c r="AC123" t="s">
        <v>81</v>
      </c>
      <c r="AD123" t="s">
        <v>101</v>
      </c>
      <c r="AE123" t="s">
        <v>78</v>
      </c>
      <c r="AF123" t="s">
        <v>80</v>
      </c>
      <c r="AG123" t="s">
        <v>80</v>
      </c>
      <c r="AH123" t="s">
        <v>80</v>
      </c>
      <c r="AI123" t="s">
        <v>80</v>
      </c>
      <c r="AJ123">
        <v>5</v>
      </c>
      <c r="AK123">
        <v>5</v>
      </c>
      <c r="AL123">
        <v>4</v>
      </c>
      <c r="AM123" t="s">
        <v>97</v>
      </c>
    </row>
    <row r="124" spans="1:39" x14ac:dyDescent="0.35">
      <c r="A124">
        <v>60</v>
      </c>
      <c r="B124" t="str" cm="1">
        <f t="array" ref="B124">_xlfn.IFS(A124&lt;=25,"18-25",A124&lt;=33,"26-33",A124&lt;=41,"34-41",A124&lt;=49,"42-49",A124&gt;49,"50 or above")</f>
        <v>50 or above</v>
      </c>
      <c r="C124" t="s">
        <v>62</v>
      </c>
      <c r="D124" t="s">
        <v>105</v>
      </c>
      <c r="E124" t="s">
        <v>136</v>
      </c>
      <c r="F124" t="s">
        <v>102</v>
      </c>
      <c r="G124" t="s">
        <v>66</v>
      </c>
      <c r="H124" t="s">
        <v>66</v>
      </c>
      <c r="I124">
        <v>1</v>
      </c>
      <c r="J124" t="s">
        <v>67</v>
      </c>
      <c r="K124" t="s">
        <v>68</v>
      </c>
      <c r="P124" t="s">
        <v>67</v>
      </c>
      <c r="Q124" t="s">
        <v>103</v>
      </c>
      <c r="R124" t="s">
        <v>71</v>
      </c>
      <c r="S124" t="s">
        <v>107</v>
      </c>
      <c r="T124" t="s">
        <v>73</v>
      </c>
      <c r="V124" t="s">
        <v>96</v>
      </c>
      <c r="Z124" t="s">
        <v>78</v>
      </c>
      <c r="AA124" t="s">
        <v>81</v>
      </c>
      <c r="AB124" t="s">
        <v>78</v>
      </c>
      <c r="AC124" t="s">
        <v>78</v>
      </c>
      <c r="AD124" t="s">
        <v>81</v>
      </c>
      <c r="AE124" t="s">
        <v>80</v>
      </c>
      <c r="AF124" t="s">
        <v>78</v>
      </c>
      <c r="AG124" t="s">
        <v>78</v>
      </c>
      <c r="AH124" t="s">
        <v>78</v>
      </c>
      <c r="AI124" t="s">
        <v>81</v>
      </c>
      <c r="AJ124">
        <v>4</v>
      </c>
      <c r="AK124">
        <v>4</v>
      </c>
      <c r="AL124">
        <v>4</v>
      </c>
      <c r="AM124" t="s">
        <v>104</v>
      </c>
    </row>
    <row r="125" spans="1:39" x14ac:dyDescent="0.35">
      <c r="A125">
        <v>18</v>
      </c>
      <c r="B125" t="str" cm="1">
        <f t="array" ref="B125">_xlfn.IFS(A125&lt;=25,"18-25",A125&lt;=33,"26-33",A125&lt;=41,"34-41",A125&lt;=49,"42-49",A125&gt;49,"50 or above")</f>
        <v>18-25</v>
      </c>
      <c r="C125" t="s">
        <v>62</v>
      </c>
      <c r="D125" t="s">
        <v>116</v>
      </c>
      <c r="E125" t="s">
        <v>64</v>
      </c>
      <c r="F125" t="s">
        <v>87</v>
      </c>
      <c r="G125" t="s">
        <v>66</v>
      </c>
      <c r="H125" t="s">
        <v>66</v>
      </c>
      <c r="I125">
        <v>1</v>
      </c>
      <c r="J125" t="s">
        <v>67</v>
      </c>
      <c r="K125" t="s">
        <v>68</v>
      </c>
      <c r="L125" t="s">
        <v>69</v>
      </c>
      <c r="P125" t="s">
        <v>67</v>
      </c>
      <c r="Q125" t="s">
        <v>70</v>
      </c>
      <c r="R125" t="s">
        <v>92</v>
      </c>
      <c r="S125" t="s">
        <v>72</v>
      </c>
      <c r="T125" t="s">
        <v>112</v>
      </c>
      <c r="U125" t="s">
        <v>74</v>
      </c>
      <c r="V125" t="s">
        <v>75</v>
      </c>
      <c r="W125" t="s">
        <v>76</v>
      </c>
      <c r="X125" t="s">
        <v>77</v>
      </c>
      <c r="Z125" t="s">
        <v>78</v>
      </c>
      <c r="AA125" t="s">
        <v>80</v>
      </c>
      <c r="AB125" t="s">
        <v>80</v>
      </c>
      <c r="AC125" t="s">
        <v>80</v>
      </c>
      <c r="AD125" t="s">
        <v>78</v>
      </c>
      <c r="AE125" t="s">
        <v>80</v>
      </c>
      <c r="AF125" t="s">
        <v>78</v>
      </c>
      <c r="AG125" t="s">
        <v>80</v>
      </c>
      <c r="AH125" t="s">
        <v>78</v>
      </c>
      <c r="AI125" t="s">
        <v>81</v>
      </c>
      <c r="AJ125">
        <v>3</v>
      </c>
      <c r="AK125">
        <v>5</v>
      </c>
      <c r="AL125">
        <v>4</v>
      </c>
      <c r="AM125" t="s">
        <v>82</v>
      </c>
    </row>
    <row r="126" spans="1:39" x14ac:dyDescent="0.35">
      <c r="A126">
        <v>30</v>
      </c>
      <c r="B126" t="str" cm="1">
        <f t="array" ref="B126">_xlfn.IFS(A126&lt;=25,"18-25",A126&lt;=33,"26-33",A126&lt;=41,"34-41",A126&lt;=49,"42-49",A126&gt;49,"50 or above")</f>
        <v>26-33</v>
      </c>
      <c r="C126" t="s">
        <v>62</v>
      </c>
      <c r="D126" t="s">
        <v>63</v>
      </c>
      <c r="E126" t="s">
        <v>86</v>
      </c>
      <c r="F126" t="s">
        <v>102</v>
      </c>
      <c r="G126" t="s">
        <v>66</v>
      </c>
      <c r="H126" t="s">
        <v>66</v>
      </c>
      <c r="I126">
        <v>1</v>
      </c>
      <c r="J126" t="s">
        <v>67</v>
      </c>
      <c r="K126" t="s">
        <v>68</v>
      </c>
      <c r="L126" t="s">
        <v>69</v>
      </c>
      <c r="P126" t="s">
        <v>67</v>
      </c>
      <c r="Q126" t="s">
        <v>70</v>
      </c>
      <c r="R126" t="s">
        <v>92</v>
      </c>
      <c r="S126" t="s">
        <v>113</v>
      </c>
      <c r="T126" t="s">
        <v>99</v>
      </c>
      <c r="V126" t="s">
        <v>96</v>
      </c>
      <c r="W126" t="s">
        <v>76</v>
      </c>
      <c r="Z126" t="s">
        <v>80</v>
      </c>
      <c r="AA126" t="s">
        <v>81</v>
      </c>
      <c r="AB126" t="s">
        <v>80</v>
      </c>
      <c r="AC126" t="s">
        <v>80</v>
      </c>
      <c r="AD126" t="s">
        <v>80</v>
      </c>
      <c r="AE126" t="s">
        <v>78</v>
      </c>
      <c r="AF126" t="s">
        <v>78</v>
      </c>
      <c r="AG126" t="s">
        <v>79</v>
      </c>
      <c r="AH126" t="s">
        <v>79</v>
      </c>
      <c r="AI126" t="s">
        <v>81</v>
      </c>
      <c r="AJ126">
        <v>3</v>
      </c>
      <c r="AK126">
        <v>5</v>
      </c>
      <c r="AL126">
        <v>5</v>
      </c>
      <c r="AM126" t="s">
        <v>82</v>
      </c>
    </row>
    <row r="127" spans="1:39" x14ac:dyDescent="0.35">
      <c r="A127">
        <v>20</v>
      </c>
      <c r="B127" t="str" cm="1">
        <f t="array" ref="B127">_xlfn.IFS(A127&lt;=25,"18-25",A127&lt;=33,"26-33",A127&lt;=41,"34-41",A127&lt;=49,"42-49",A127&gt;49,"50 or above")</f>
        <v>18-25</v>
      </c>
      <c r="C127" t="s">
        <v>62</v>
      </c>
      <c r="D127" t="s">
        <v>120</v>
      </c>
      <c r="E127" t="s">
        <v>86</v>
      </c>
      <c r="F127" t="s">
        <v>87</v>
      </c>
      <c r="G127" t="s">
        <v>66</v>
      </c>
      <c r="H127" t="s">
        <v>66</v>
      </c>
      <c r="I127">
        <v>1</v>
      </c>
      <c r="J127" t="s">
        <v>67</v>
      </c>
      <c r="P127" t="s">
        <v>67</v>
      </c>
      <c r="Q127" t="s">
        <v>70</v>
      </c>
      <c r="R127" t="s">
        <v>71</v>
      </c>
      <c r="S127" t="s">
        <v>72</v>
      </c>
      <c r="T127" t="s">
        <v>73</v>
      </c>
      <c r="V127" t="s">
        <v>96</v>
      </c>
      <c r="W127" t="s">
        <v>76</v>
      </c>
      <c r="X127" t="s">
        <v>77</v>
      </c>
      <c r="Z127" t="s">
        <v>80</v>
      </c>
      <c r="AA127" t="s">
        <v>80</v>
      </c>
      <c r="AB127" t="s">
        <v>80</v>
      </c>
      <c r="AC127" t="s">
        <v>81</v>
      </c>
      <c r="AD127" t="s">
        <v>80</v>
      </c>
      <c r="AE127" t="s">
        <v>78</v>
      </c>
      <c r="AF127" t="s">
        <v>78</v>
      </c>
      <c r="AG127" t="s">
        <v>78</v>
      </c>
      <c r="AH127" t="s">
        <v>81</v>
      </c>
      <c r="AI127" t="s">
        <v>79</v>
      </c>
      <c r="AJ127">
        <v>5</v>
      </c>
      <c r="AK127">
        <v>5</v>
      </c>
      <c r="AL127">
        <v>1</v>
      </c>
      <c r="AM127" t="s">
        <v>104</v>
      </c>
    </row>
    <row r="128" spans="1:39" x14ac:dyDescent="0.35">
      <c r="A128">
        <v>45</v>
      </c>
      <c r="B128" t="str" cm="1">
        <f t="array" ref="B128">_xlfn.IFS(A128&lt;=25,"18-25",A128&lt;=33,"26-33",A128&lt;=41,"34-41",A128&lt;=49,"42-49",A128&gt;49,"50 or above")</f>
        <v>42-49</v>
      </c>
      <c r="C128" t="s">
        <v>62</v>
      </c>
      <c r="D128" t="s">
        <v>63</v>
      </c>
      <c r="E128" t="s">
        <v>86</v>
      </c>
      <c r="F128" t="s">
        <v>65</v>
      </c>
      <c r="G128" t="s">
        <v>66</v>
      </c>
      <c r="H128" t="s">
        <v>66</v>
      </c>
      <c r="I128">
        <v>1</v>
      </c>
      <c r="J128" t="s">
        <v>67</v>
      </c>
      <c r="P128" t="s">
        <v>67</v>
      </c>
      <c r="Q128" t="s">
        <v>117</v>
      </c>
      <c r="R128" t="s">
        <v>94</v>
      </c>
      <c r="S128" t="s">
        <v>72</v>
      </c>
      <c r="T128" t="s">
        <v>73</v>
      </c>
      <c r="U128" t="s">
        <v>74</v>
      </c>
      <c r="V128" t="s">
        <v>75</v>
      </c>
      <c r="W128" t="s">
        <v>76</v>
      </c>
      <c r="Z128" t="s">
        <v>79</v>
      </c>
      <c r="AA128" t="s">
        <v>81</v>
      </c>
      <c r="AB128" t="s">
        <v>80</v>
      </c>
      <c r="AC128" t="s">
        <v>81</v>
      </c>
      <c r="AD128" t="s">
        <v>80</v>
      </c>
      <c r="AE128" t="s">
        <v>81</v>
      </c>
      <c r="AF128" t="s">
        <v>81</v>
      </c>
      <c r="AG128" t="s">
        <v>80</v>
      </c>
      <c r="AH128" t="s">
        <v>81</v>
      </c>
      <c r="AI128" t="s">
        <v>80</v>
      </c>
      <c r="AJ128">
        <v>4</v>
      </c>
      <c r="AK128">
        <v>3</v>
      </c>
      <c r="AL128">
        <v>4</v>
      </c>
      <c r="AM128" t="s">
        <v>82</v>
      </c>
    </row>
    <row r="129" spans="1:39" x14ac:dyDescent="0.35">
      <c r="A129">
        <v>56</v>
      </c>
      <c r="B129" t="str" cm="1">
        <f t="array" ref="B129">_xlfn.IFS(A129&lt;=25,"18-25",A129&lt;=33,"26-33",A129&lt;=41,"34-41",A129&lt;=49,"42-49",A129&gt;49,"50 or above")</f>
        <v>50 or above</v>
      </c>
      <c r="C129" t="s">
        <v>62</v>
      </c>
      <c r="D129" t="s">
        <v>116</v>
      </c>
      <c r="E129" t="s">
        <v>136</v>
      </c>
      <c r="F129" t="s">
        <v>65</v>
      </c>
      <c r="G129" t="s">
        <v>66</v>
      </c>
      <c r="H129" t="s">
        <v>66</v>
      </c>
      <c r="I129">
        <v>1</v>
      </c>
      <c r="J129" t="s">
        <v>67</v>
      </c>
      <c r="P129" t="s">
        <v>67</v>
      </c>
      <c r="Q129" t="s">
        <v>117</v>
      </c>
      <c r="R129" t="s">
        <v>94</v>
      </c>
      <c r="S129" t="s">
        <v>107</v>
      </c>
      <c r="T129" t="s">
        <v>73</v>
      </c>
      <c r="U129" t="s">
        <v>74</v>
      </c>
      <c r="Z129" t="s">
        <v>81</v>
      </c>
      <c r="AA129" t="s">
        <v>80</v>
      </c>
      <c r="AB129" t="s">
        <v>81</v>
      </c>
      <c r="AC129" t="s">
        <v>80</v>
      </c>
      <c r="AD129" t="s">
        <v>81</v>
      </c>
      <c r="AE129" t="s">
        <v>80</v>
      </c>
      <c r="AF129" t="s">
        <v>81</v>
      </c>
      <c r="AG129" t="s">
        <v>80</v>
      </c>
      <c r="AH129" t="s">
        <v>80</v>
      </c>
      <c r="AI129" t="s">
        <v>80</v>
      </c>
      <c r="AJ129">
        <v>4</v>
      </c>
      <c r="AK129">
        <v>4</v>
      </c>
      <c r="AL129">
        <v>4</v>
      </c>
      <c r="AM129" t="s">
        <v>115</v>
      </c>
    </row>
    <row r="130" spans="1:39" x14ac:dyDescent="0.35">
      <c r="A130">
        <v>30</v>
      </c>
      <c r="B130" t="str" cm="1">
        <f t="array" ref="B130">_xlfn.IFS(A130&lt;=25,"18-25",A130&lt;=33,"26-33",A130&lt;=41,"34-41",A130&lt;=49,"42-49",A130&gt;49,"50 or above")</f>
        <v>26-33</v>
      </c>
      <c r="C130" t="s">
        <v>62</v>
      </c>
      <c r="D130" t="s">
        <v>116</v>
      </c>
      <c r="E130" t="s">
        <v>109</v>
      </c>
      <c r="F130" t="s">
        <v>65</v>
      </c>
      <c r="G130" t="s">
        <v>66</v>
      </c>
      <c r="H130" t="s">
        <v>66</v>
      </c>
      <c r="I130">
        <v>1</v>
      </c>
      <c r="J130" t="s">
        <v>67</v>
      </c>
      <c r="K130" t="s">
        <v>68</v>
      </c>
      <c r="L130" t="s">
        <v>69</v>
      </c>
      <c r="P130" t="s">
        <v>93</v>
      </c>
      <c r="Q130" t="s">
        <v>117</v>
      </c>
      <c r="R130" t="s">
        <v>94</v>
      </c>
      <c r="S130" t="s">
        <v>107</v>
      </c>
      <c r="T130" t="s">
        <v>73</v>
      </c>
      <c r="U130" t="s">
        <v>74</v>
      </c>
      <c r="Z130" t="s">
        <v>79</v>
      </c>
      <c r="AA130" t="s">
        <v>81</v>
      </c>
      <c r="AB130" t="s">
        <v>80</v>
      </c>
      <c r="AC130" t="s">
        <v>79</v>
      </c>
      <c r="AD130" t="s">
        <v>81</v>
      </c>
      <c r="AE130" t="s">
        <v>80</v>
      </c>
      <c r="AF130" t="s">
        <v>79</v>
      </c>
      <c r="AG130" t="s">
        <v>81</v>
      </c>
      <c r="AH130" t="s">
        <v>80</v>
      </c>
      <c r="AI130" t="s">
        <v>81</v>
      </c>
      <c r="AJ130">
        <v>4</v>
      </c>
      <c r="AK130">
        <v>4</v>
      </c>
      <c r="AL130">
        <v>4</v>
      </c>
      <c r="AM130" t="s">
        <v>115</v>
      </c>
    </row>
    <row r="131" spans="1:39" x14ac:dyDescent="0.35">
      <c r="A131">
        <v>27</v>
      </c>
      <c r="B131" t="str" cm="1">
        <f t="array" ref="B131">_xlfn.IFS(A131&lt;=25,"18-25",A131&lt;=33,"26-33",A131&lt;=41,"34-41",A131&lt;=49,"42-49",A131&gt;49,"50 or above")</f>
        <v>26-33</v>
      </c>
      <c r="C131" t="s">
        <v>62</v>
      </c>
      <c r="D131" t="s">
        <v>105</v>
      </c>
      <c r="E131" t="s">
        <v>64</v>
      </c>
      <c r="F131" t="s">
        <v>65</v>
      </c>
      <c r="G131" t="s">
        <v>66</v>
      </c>
      <c r="H131" t="s">
        <v>66</v>
      </c>
      <c r="I131">
        <v>1</v>
      </c>
      <c r="J131" t="s">
        <v>67</v>
      </c>
      <c r="K131" t="s">
        <v>68</v>
      </c>
      <c r="L131" t="s">
        <v>69</v>
      </c>
      <c r="P131" t="s">
        <v>67</v>
      </c>
      <c r="Q131" t="s">
        <v>98</v>
      </c>
      <c r="R131" t="s">
        <v>94</v>
      </c>
      <c r="S131" t="s">
        <v>95</v>
      </c>
      <c r="T131" t="s">
        <v>99</v>
      </c>
      <c r="U131" t="s">
        <v>74</v>
      </c>
      <c r="V131" t="s">
        <v>75</v>
      </c>
      <c r="W131" t="s">
        <v>76</v>
      </c>
      <c r="X131" t="s">
        <v>77</v>
      </c>
      <c r="Y131" t="s">
        <v>108</v>
      </c>
      <c r="Z131" t="s">
        <v>81</v>
      </c>
      <c r="AA131" t="s">
        <v>81</v>
      </c>
      <c r="AB131" t="s">
        <v>81</v>
      </c>
      <c r="AC131" t="s">
        <v>81</v>
      </c>
      <c r="AD131" t="s">
        <v>81</v>
      </c>
      <c r="AE131" t="s">
        <v>80</v>
      </c>
      <c r="AF131" t="s">
        <v>80</v>
      </c>
      <c r="AG131" t="s">
        <v>80</v>
      </c>
      <c r="AH131" t="s">
        <v>80</v>
      </c>
      <c r="AI131" t="s">
        <v>80</v>
      </c>
      <c r="AJ131">
        <v>4</v>
      </c>
      <c r="AK131">
        <v>3</v>
      </c>
      <c r="AL131">
        <v>3</v>
      </c>
      <c r="AM131" t="s">
        <v>115</v>
      </c>
    </row>
    <row r="132" spans="1:39" x14ac:dyDescent="0.35">
      <c r="A132">
        <v>68</v>
      </c>
      <c r="B132" t="str" cm="1">
        <f t="array" ref="B132">_xlfn.IFS(A132&lt;=25,"18-25",A132&lt;=33,"26-33",A132&lt;=41,"34-41",A132&lt;=49,"42-49",A132&gt;49,"50 or above")</f>
        <v>50 or above</v>
      </c>
      <c r="C132" t="s">
        <v>62</v>
      </c>
      <c r="D132" t="s">
        <v>63</v>
      </c>
      <c r="E132" t="s">
        <v>136</v>
      </c>
      <c r="F132" t="s">
        <v>65</v>
      </c>
      <c r="G132" t="s">
        <v>66</v>
      </c>
      <c r="H132" t="s">
        <v>66</v>
      </c>
      <c r="I132">
        <v>1</v>
      </c>
      <c r="J132" t="s">
        <v>67</v>
      </c>
      <c r="P132" t="s">
        <v>67</v>
      </c>
      <c r="Q132" t="s">
        <v>117</v>
      </c>
      <c r="R132" t="s">
        <v>94</v>
      </c>
      <c r="S132" t="s">
        <v>95</v>
      </c>
      <c r="T132" t="s">
        <v>99</v>
      </c>
      <c r="W132" t="s">
        <v>134</v>
      </c>
      <c r="Z132" t="s">
        <v>81</v>
      </c>
      <c r="AA132" t="s">
        <v>81</v>
      </c>
      <c r="AB132" t="s">
        <v>81</v>
      </c>
      <c r="AC132" t="s">
        <v>80</v>
      </c>
      <c r="AD132" t="s">
        <v>80</v>
      </c>
      <c r="AE132" t="s">
        <v>80</v>
      </c>
      <c r="AF132" t="s">
        <v>80</v>
      </c>
      <c r="AG132" t="s">
        <v>80</v>
      </c>
      <c r="AH132" t="s">
        <v>80</v>
      </c>
      <c r="AI132" t="s">
        <v>80</v>
      </c>
      <c r="AJ132">
        <v>4</v>
      </c>
      <c r="AK132">
        <v>3</v>
      </c>
      <c r="AL132">
        <v>3</v>
      </c>
      <c r="AM132" t="s">
        <v>115</v>
      </c>
    </row>
    <row r="133" spans="1:39" x14ac:dyDescent="0.35">
      <c r="A133">
        <v>25</v>
      </c>
      <c r="B133" t="str" cm="1">
        <f t="array" ref="B133">_xlfn.IFS(A133&lt;=25,"18-25",A133&lt;=33,"26-33",A133&lt;=41,"34-41",A133&lt;=49,"42-49",A133&gt;49,"50 or above")</f>
        <v>18-25</v>
      </c>
      <c r="C133" t="s">
        <v>62</v>
      </c>
      <c r="D133" t="s">
        <v>105</v>
      </c>
      <c r="E133" t="s">
        <v>64</v>
      </c>
      <c r="F133" t="s">
        <v>65</v>
      </c>
      <c r="G133" t="s">
        <v>66</v>
      </c>
      <c r="H133" t="s">
        <v>66</v>
      </c>
      <c r="I133">
        <v>1</v>
      </c>
      <c r="J133" t="s">
        <v>67</v>
      </c>
      <c r="K133" t="s">
        <v>68</v>
      </c>
      <c r="L133" t="s">
        <v>69</v>
      </c>
      <c r="P133" t="s">
        <v>67</v>
      </c>
      <c r="Q133" t="s">
        <v>70</v>
      </c>
      <c r="R133" t="s">
        <v>94</v>
      </c>
      <c r="S133" t="s">
        <v>95</v>
      </c>
      <c r="T133" t="s">
        <v>99</v>
      </c>
      <c r="U133" t="s">
        <v>74</v>
      </c>
      <c r="V133" t="s">
        <v>75</v>
      </c>
      <c r="W133" t="s">
        <v>76</v>
      </c>
      <c r="X133" t="s">
        <v>77</v>
      </c>
      <c r="Z133" t="s">
        <v>81</v>
      </c>
      <c r="AA133" t="s">
        <v>79</v>
      </c>
      <c r="AB133" t="s">
        <v>81</v>
      </c>
      <c r="AC133" t="s">
        <v>81</v>
      </c>
      <c r="AD133" t="s">
        <v>81</v>
      </c>
      <c r="AE133" t="s">
        <v>79</v>
      </c>
      <c r="AF133" t="s">
        <v>79</v>
      </c>
      <c r="AG133" t="s">
        <v>81</v>
      </c>
      <c r="AH133" t="s">
        <v>79</v>
      </c>
      <c r="AI133" t="s">
        <v>79</v>
      </c>
      <c r="AJ133">
        <v>4</v>
      </c>
      <c r="AK133">
        <v>4</v>
      </c>
      <c r="AL133">
        <v>3</v>
      </c>
      <c r="AM133" t="s">
        <v>82</v>
      </c>
    </row>
    <row r="134" spans="1:39" x14ac:dyDescent="0.35">
      <c r="A134">
        <v>55</v>
      </c>
      <c r="B134" t="str" cm="1">
        <f t="array" ref="B134">_xlfn.IFS(A134&lt;=25,"18-25",A134&lt;=33,"26-33",A134&lt;=41,"34-41",A134&lt;=49,"42-49",A134&gt;49,"50 or above")</f>
        <v>50 or above</v>
      </c>
      <c r="C134" t="s">
        <v>62</v>
      </c>
      <c r="D134" t="s">
        <v>105</v>
      </c>
      <c r="E134" t="s">
        <v>86</v>
      </c>
      <c r="F134" t="s">
        <v>65</v>
      </c>
      <c r="G134" t="s">
        <v>66</v>
      </c>
      <c r="H134" t="s">
        <v>66</v>
      </c>
      <c r="I134">
        <v>1</v>
      </c>
      <c r="J134" t="s">
        <v>67</v>
      </c>
      <c r="K134" t="s">
        <v>68</v>
      </c>
      <c r="L134" t="s">
        <v>69</v>
      </c>
      <c r="P134" t="s">
        <v>67</v>
      </c>
      <c r="Q134" t="s">
        <v>117</v>
      </c>
      <c r="R134" t="s">
        <v>94</v>
      </c>
      <c r="S134" t="s">
        <v>107</v>
      </c>
      <c r="T134" t="s">
        <v>73</v>
      </c>
      <c r="U134" t="s">
        <v>74</v>
      </c>
      <c r="Z134" t="s">
        <v>79</v>
      </c>
      <c r="AA134" t="s">
        <v>81</v>
      </c>
      <c r="AB134" t="s">
        <v>81</v>
      </c>
      <c r="AC134" t="s">
        <v>81</v>
      </c>
      <c r="AD134" t="s">
        <v>81</v>
      </c>
      <c r="AE134" t="s">
        <v>81</v>
      </c>
      <c r="AF134" t="s">
        <v>80</v>
      </c>
      <c r="AG134" t="s">
        <v>80</v>
      </c>
      <c r="AH134" t="s">
        <v>80</v>
      </c>
      <c r="AI134" t="s">
        <v>80</v>
      </c>
      <c r="AJ134">
        <v>4</v>
      </c>
      <c r="AK134">
        <v>3</v>
      </c>
      <c r="AL134">
        <v>3</v>
      </c>
      <c r="AM134" t="s">
        <v>82</v>
      </c>
    </row>
    <row r="135" spans="1:39" x14ac:dyDescent="0.35">
      <c r="A135">
        <v>45</v>
      </c>
      <c r="B135" t="str" cm="1">
        <f t="array" ref="B135">_xlfn.IFS(A135&lt;=25,"18-25",A135&lt;=33,"26-33",A135&lt;=41,"34-41",A135&lt;=49,"42-49",A135&gt;49,"50 or above")</f>
        <v>42-49</v>
      </c>
      <c r="C135" t="s">
        <v>89</v>
      </c>
      <c r="D135" t="s">
        <v>119</v>
      </c>
      <c r="E135" t="s">
        <v>121</v>
      </c>
      <c r="F135" t="s">
        <v>87</v>
      </c>
      <c r="G135" t="s">
        <v>66</v>
      </c>
      <c r="H135" t="s">
        <v>66</v>
      </c>
      <c r="I135">
        <v>1</v>
      </c>
      <c r="J135" t="s">
        <v>67</v>
      </c>
      <c r="K135" t="s">
        <v>68</v>
      </c>
      <c r="L135" t="s">
        <v>69</v>
      </c>
      <c r="P135" t="s">
        <v>67</v>
      </c>
      <c r="Q135" t="s">
        <v>70</v>
      </c>
      <c r="R135" t="s">
        <v>94</v>
      </c>
      <c r="S135" t="s">
        <v>130</v>
      </c>
      <c r="T135" t="s">
        <v>99</v>
      </c>
      <c r="U135" t="s">
        <v>74</v>
      </c>
      <c r="V135" t="s">
        <v>75</v>
      </c>
      <c r="W135" t="s">
        <v>76</v>
      </c>
      <c r="Z135" t="s">
        <v>80</v>
      </c>
      <c r="AA135" t="s">
        <v>81</v>
      </c>
      <c r="AB135" t="s">
        <v>79</v>
      </c>
      <c r="AC135" t="s">
        <v>80</v>
      </c>
      <c r="AD135" t="s">
        <v>79</v>
      </c>
      <c r="AE135" t="s">
        <v>79</v>
      </c>
      <c r="AF135" t="s">
        <v>81</v>
      </c>
      <c r="AG135" t="s">
        <v>81</v>
      </c>
      <c r="AH135" t="s">
        <v>79</v>
      </c>
      <c r="AI135" t="s">
        <v>79</v>
      </c>
      <c r="AJ135">
        <v>3</v>
      </c>
      <c r="AK135">
        <v>3</v>
      </c>
      <c r="AL135">
        <v>2</v>
      </c>
      <c r="AM135" t="s">
        <v>82</v>
      </c>
    </row>
    <row r="136" spans="1:39" x14ac:dyDescent="0.35">
      <c r="A136">
        <v>30</v>
      </c>
      <c r="B136" t="str" cm="1">
        <f t="array" ref="B136">_xlfn.IFS(A136&lt;=25,"18-25",A136&lt;=33,"26-33",A136&lt;=41,"34-41",A136&lt;=49,"42-49",A136&gt;49,"50 or above")</f>
        <v>26-33</v>
      </c>
      <c r="C136" t="s">
        <v>62</v>
      </c>
      <c r="D136" t="s">
        <v>105</v>
      </c>
      <c r="E136" t="s">
        <v>109</v>
      </c>
      <c r="F136" t="s">
        <v>102</v>
      </c>
      <c r="G136" t="s">
        <v>66</v>
      </c>
      <c r="H136" t="s">
        <v>66</v>
      </c>
      <c r="I136">
        <v>1</v>
      </c>
      <c r="J136" t="s">
        <v>67</v>
      </c>
      <c r="K136" t="s">
        <v>68</v>
      </c>
      <c r="L136" t="s">
        <v>69</v>
      </c>
      <c r="P136" t="s">
        <v>91</v>
      </c>
      <c r="Q136" t="s">
        <v>98</v>
      </c>
      <c r="R136" t="s">
        <v>71</v>
      </c>
      <c r="S136" t="s">
        <v>95</v>
      </c>
      <c r="T136" t="s">
        <v>140</v>
      </c>
      <c r="X136" t="s">
        <v>131</v>
      </c>
      <c r="Y136" t="s">
        <v>108</v>
      </c>
      <c r="Z136" t="s">
        <v>78</v>
      </c>
      <c r="AA136" t="s">
        <v>80</v>
      </c>
      <c r="AB136" t="s">
        <v>81</v>
      </c>
      <c r="AC136" t="s">
        <v>81</v>
      </c>
      <c r="AD136" t="s">
        <v>79</v>
      </c>
      <c r="AE136" t="s">
        <v>80</v>
      </c>
      <c r="AF136" t="s">
        <v>78</v>
      </c>
      <c r="AG136" t="s">
        <v>81</v>
      </c>
      <c r="AH136" t="s">
        <v>78</v>
      </c>
      <c r="AI136" t="s">
        <v>78</v>
      </c>
      <c r="AJ136">
        <v>4</v>
      </c>
      <c r="AK136">
        <v>5</v>
      </c>
      <c r="AL136">
        <v>3</v>
      </c>
      <c r="AM136" t="s">
        <v>115</v>
      </c>
    </row>
    <row r="137" spans="1:39" x14ac:dyDescent="0.35">
      <c r="A137">
        <v>46</v>
      </c>
      <c r="B137" t="str" cm="1">
        <f t="array" ref="B137">_xlfn.IFS(A137&lt;=25,"18-25",A137&lt;=33,"26-33",A137&lt;=41,"34-41",A137&lt;=49,"42-49",A137&gt;49,"50 or above")</f>
        <v>42-49</v>
      </c>
      <c r="C137" t="s">
        <v>89</v>
      </c>
      <c r="D137" t="s">
        <v>119</v>
      </c>
      <c r="E137" t="s">
        <v>121</v>
      </c>
      <c r="F137" t="s">
        <v>90</v>
      </c>
      <c r="G137" t="s">
        <v>66</v>
      </c>
      <c r="H137" t="s">
        <v>66</v>
      </c>
      <c r="I137">
        <v>1</v>
      </c>
      <c r="J137" t="s">
        <v>67</v>
      </c>
      <c r="P137" t="s">
        <v>67</v>
      </c>
      <c r="Q137" t="s">
        <v>117</v>
      </c>
      <c r="R137" t="s">
        <v>94</v>
      </c>
      <c r="S137" t="s">
        <v>113</v>
      </c>
      <c r="T137" t="s">
        <v>99</v>
      </c>
      <c r="U137" t="s">
        <v>74</v>
      </c>
      <c r="Z137" t="s">
        <v>81</v>
      </c>
      <c r="AA137" t="s">
        <v>79</v>
      </c>
      <c r="AB137" t="s">
        <v>80</v>
      </c>
      <c r="AC137" t="s">
        <v>79</v>
      </c>
      <c r="AD137" t="s">
        <v>80</v>
      </c>
      <c r="AE137" t="s">
        <v>79</v>
      </c>
      <c r="AF137" t="s">
        <v>79</v>
      </c>
      <c r="AG137" t="s">
        <v>80</v>
      </c>
      <c r="AH137" t="s">
        <v>101</v>
      </c>
      <c r="AI137" t="s">
        <v>81</v>
      </c>
      <c r="AJ137">
        <v>3</v>
      </c>
      <c r="AK137">
        <v>1</v>
      </c>
      <c r="AL137">
        <v>2</v>
      </c>
      <c r="AM137" t="s">
        <v>128</v>
      </c>
    </row>
    <row r="138" spans="1:39" x14ac:dyDescent="0.35">
      <c r="A138">
        <v>23</v>
      </c>
      <c r="B138" t="str" cm="1">
        <f t="array" ref="B138">_xlfn.IFS(A138&lt;=25,"18-25",A138&lt;=33,"26-33",A138&lt;=41,"34-41",A138&lt;=49,"42-49",A138&gt;49,"50 or above")</f>
        <v>18-25</v>
      </c>
      <c r="C138" t="s">
        <v>62</v>
      </c>
      <c r="D138" t="s">
        <v>63</v>
      </c>
      <c r="E138" t="s">
        <v>64</v>
      </c>
      <c r="F138" t="s">
        <v>65</v>
      </c>
      <c r="G138" t="s">
        <v>66</v>
      </c>
      <c r="H138" t="s">
        <v>66</v>
      </c>
      <c r="I138">
        <v>1</v>
      </c>
      <c r="J138" t="s">
        <v>67</v>
      </c>
      <c r="K138" t="s">
        <v>68</v>
      </c>
      <c r="L138" t="s">
        <v>69</v>
      </c>
      <c r="P138" t="s">
        <v>67</v>
      </c>
      <c r="Q138" t="s">
        <v>117</v>
      </c>
      <c r="R138" t="s">
        <v>94</v>
      </c>
      <c r="S138" t="s">
        <v>95</v>
      </c>
      <c r="T138" t="s">
        <v>73</v>
      </c>
      <c r="U138" t="s">
        <v>74</v>
      </c>
      <c r="V138" t="s">
        <v>75</v>
      </c>
      <c r="W138" t="s">
        <v>76</v>
      </c>
      <c r="X138" t="s">
        <v>77</v>
      </c>
      <c r="Z138" t="s">
        <v>81</v>
      </c>
      <c r="AA138" t="s">
        <v>80</v>
      </c>
      <c r="AB138" t="s">
        <v>81</v>
      </c>
      <c r="AC138" t="s">
        <v>80</v>
      </c>
      <c r="AD138" t="s">
        <v>81</v>
      </c>
      <c r="AE138" t="s">
        <v>81</v>
      </c>
      <c r="AF138" t="s">
        <v>81</v>
      </c>
      <c r="AG138" t="s">
        <v>81</v>
      </c>
      <c r="AH138" t="s">
        <v>81</v>
      </c>
      <c r="AI138" t="s">
        <v>81</v>
      </c>
      <c r="AJ138">
        <v>4</v>
      </c>
      <c r="AK138">
        <v>4</v>
      </c>
      <c r="AL138">
        <v>3</v>
      </c>
      <c r="AM138" t="s">
        <v>82</v>
      </c>
    </row>
    <row r="139" spans="1:39" x14ac:dyDescent="0.35">
      <c r="A139">
        <v>34</v>
      </c>
      <c r="B139" t="str" cm="1">
        <f t="array" ref="B139">_xlfn.IFS(A139&lt;=25,"18-25",A139&lt;=33,"26-33",A139&lt;=41,"34-41",A139&lt;=49,"42-49",A139&gt;49,"50 or above")</f>
        <v>34-41</v>
      </c>
      <c r="C139" t="s">
        <v>62</v>
      </c>
      <c r="D139" t="s">
        <v>63</v>
      </c>
      <c r="E139" t="s">
        <v>109</v>
      </c>
      <c r="F139" t="s">
        <v>102</v>
      </c>
      <c r="G139" t="s">
        <v>66</v>
      </c>
      <c r="H139" t="s">
        <v>66</v>
      </c>
      <c r="I139">
        <v>1</v>
      </c>
      <c r="J139" t="s">
        <v>67</v>
      </c>
      <c r="K139" t="s">
        <v>68</v>
      </c>
      <c r="L139" t="s">
        <v>69</v>
      </c>
      <c r="P139" t="s">
        <v>67</v>
      </c>
      <c r="Q139" t="s">
        <v>98</v>
      </c>
      <c r="R139" t="s">
        <v>94</v>
      </c>
      <c r="S139" t="s">
        <v>107</v>
      </c>
      <c r="T139" t="s">
        <v>73</v>
      </c>
      <c r="U139" t="s">
        <v>74</v>
      </c>
      <c r="Z139" t="s">
        <v>81</v>
      </c>
      <c r="AA139" t="s">
        <v>81</v>
      </c>
      <c r="AB139" t="s">
        <v>81</v>
      </c>
      <c r="AC139" t="s">
        <v>80</v>
      </c>
      <c r="AD139" t="s">
        <v>80</v>
      </c>
      <c r="AE139" t="s">
        <v>80</v>
      </c>
      <c r="AF139" t="s">
        <v>81</v>
      </c>
      <c r="AG139" t="s">
        <v>81</v>
      </c>
      <c r="AH139" t="s">
        <v>81</v>
      </c>
      <c r="AI139" t="s">
        <v>81</v>
      </c>
      <c r="AJ139">
        <v>4</v>
      </c>
      <c r="AK139">
        <v>4</v>
      </c>
      <c r="AL139">
        <v>3</v>
      </c>
      <c r="AM139" t="s">
        <v>115</v>
      </c>
    </row>
    <row r="140" spans="1:39" x14ac:dyDescent="0.35">
      <c r="A140">
        <v>54</v>
      </c>
      <c r="B140" t="str" cm="1">
        <f t="array" ref="B140">_xlfn.IFS(A140&lt;=25,"18-25",A140&lt;=33,"26-33",A140&lt;=41,"34-41",A140&lt;=49,"42-49",A140&gt;49,"50 or above")</f>
        <v>50 or above</v>
      </c>
      <c r="C140" t="s">
        <v>62</v>
      </c>
      <c r="D140" t="s">
        <v>116</v>
      </c>
      <c r="E140" t="s">
        <v>86</v>
      </c>
      <c r="F140" t="s">
        <v>65</v>
      </c>
      <c r="G140" t="s">
        <v>66</v>
      </c>
      <c r="H140" t="s">
        <v>66</v>
      </c>
      <c r="I140">
        <v>1</v>
      </c>
      <c r="J140" t="s">
        <v>67</v>
      </c>
      <c r="K140" t="s">
        <v>68</v>
      </c>
      <c r="L140" t="s">
        <v>69</v>
      </c>
      <c r="P140" t="s">
        <v>67</v>
      </c>
      <c r="Q140" t="s">
        <v>70</v>
      </c>
      <c r="R140" t="s">
        <v>94</v>
      </c>
      <c r="S140" t="s">
        <v>72</v>
      </c>
      <c r="T140" t="s">
        <v>73</v>
      </c>
      <c r="V140" t="s">
        <v>96</v>
      </c>
      <c r="W140" t="s">
        <v>76</v>
      </c>
      <c r="Z140" t="s">
        <v>79</v>
      </c>
      <c r="AA140" t="s">
        <v>81</v>
      </c>
      <c r="AB140" t="s">
        <v>81</v>
      </c>
      <c r="AC140" t="s">
        <v>81</v>
      </c>
      <c r="AD140" t="s">
        <v>79</v>
      </c>
      <c r="AE140" t="s">
        <v>79</v>
      </c>
      <c r="AF140" t="s">
        <v>80</v>
      </c>
      <c r="AG140" t="s">
        <v>79</v>
      </c>
      <c r="AH140" t="s">
        <v>79</v>
      </c>
      <c r="AI140" t="s">
        <v>79</v>
      </c>
      <c r="AJ140">
        <v>4</v>
      </c>
      <c r="AK140">
        <v>3</v>
      </c>
      <c r="AL140">
        <v>4</v>
      </c>
      <c r="AM140" t="s">
        <v>82</v>
      </c>
    </row>
    <row r="141" spans="1:39" x14ac:dyDescent="0.35">
      <c r="A141">
        <v>40</v>
      </c>
      <c r="B141" t="str" cm="1">
        <f t="array" ref="B141">_xlfn.IFS(A141&lt;=25,"18-25",A141&lt;=33,"26-33",A141&lt;=41,"34-41",A141&lt;=49,"42-49",A141&gt;49,"50 or above")</f>
        <v>34-41</v>
      </c>
      <c r="C141" t="s">
        <v>62</v>
      </c>
      <c r="D141" t="s">
        <v>63</v>
      </c>
      <c r="E141" t="s">
        <v>64</v>
      </c>
      <c r="F141" t="s">
        <v>65</v>
      </c>
      <c r="G141" t="s">
        <v>66</v>
      </c>
      <c r="H141" t="s">
        <v>66</v>
      </c>
      <c r="I141">
        <v>1</v>
      </c>
      <c r="J141" t="s">
        <v>67</v>
      </c>
      <c r="K141" t="s">
        <v>68</v>
      </c>
      <c r="L141" t="s">
        <v>69</v>
      </c>
      <c r="P141" t="s">
        <v>67</v>
      </c>
      <c r="Q141" t="s">
        <v>98</v>
      </c>
      <c r="R141" t="s">
        <v>94</v>
      </c>
      <c r="S141" t="s">
        <v>95</v>
      </c>
      <c r="T141" t="s">
        <v>73</v>
      </c>
      <c r="U141" t="s">
        <v>74</v>
      </c>
      <c r="V141" t="s">
        <v>75</v>
      </c>
      <c r="W141" t="s">
        <v>76</v>
      </c>
      <c r="X141" t="s">
        <v>77</v>
      </c>
      <c r="Z141" t="s">
        <v>79</v>
      </c>
      <c r="AA141" t="s">
        <v>81</v>
      </c>
      <c r="AB141" t="s">
        <v>81</v>
      </c>
      <c r="AC141" t="s">
        <v>81</v>
      </c>
      <c r="AD141" t="s">
        <v>79</v>
      </c>
      <c r="AE141" t="s">
        <v>79</v>
      </c>
      <c r="AF141" t="s">
        <v>79</v>
      </c>
      <c r="AG141" t="s">
        <v>79</v>
      </c>
      <c r="AH141" t="s">
        <v>81</v>
      </c>
      <c r="AI141" t="s">
        <v>81</v>
      </c>
      <c r="AJ141">
        <v>3</v>
      </c>
      <c r="AK141">
        <v>4</v>
      </c>
      <c r="AL141">
        <v>3</v>
      </c>
      <c r="AM141" t="s">
        <v>82</v>
      </c>
    </row>
    <row r="142" spans="1:39" x14ac:dyDescent="0.35">
      <c r="A142">
        <v>34</v>
      </c>
      <c r="B142" t="str" cm="1">
        <f t="array" ref="B142">_xlfn.IFS(A142&lt;=25,"18-25",A142&lt;=33,"26-33",A142&lt;=41,"34-41",A142&lt;=49,"42-49",A142&gt;49,"50 or above")</f>
        <v>34-41</v>
      </c>
      <c r="C142" t="s">
        <v>62</v>
      </c>
      <c r="D142" t="s">
        <v>105</v>
      </c>
      <c r="E142" t="s">
        <v>86</v>
      </c>
      <c r="F142" t="s">
        <v>102</v>
      </c>
      <c r="G142" t="s">
        <v>66</v>
      </c>
      <c r="H142" t="s">
        <v>66</v>
      </c>
      <c r="I142">
        <v>1</v>
      </c>
      <c r="J142" t="s">
        <v>67</v>
      </c>
      <c r="K142" t="s">
        <v>68</v>
      </c>
      <c r="L142" t="s">
        <v>69</v>
      </c>
      <c r="P142" t="s">
        <v>67</v>
      </c>
      <c r="Q142" t="s">
        <v>70</v>
      </c>
      <c r="R142" t="s">
        <v>94</v>
      </c>
      <c r="S142" t="s">
        <v>72</v>
      </c>
      <c r="T142" t="s">
        <v>73</v>
      </c>
      <c r="U142" t="s">
        <v>74</v>
      </c>
      <c r="V142" t="s">
        <v>75</v>
      </c>
      <c r="W142" t="s">
        <v>76</v>
      </c>
      <c r="X142" t="s">
        <v>77</v>
      </c>
      <c r="Y142" t="s">
        <v>108</v>
      </c>
      <c r="Z142" t="s">
        <v>81</v>
      </c>
      <c r="AA142" t="s">
        <v>79</v>
      </c>
      <c r="AB142" t="s">
        <v>79</v>
      </c>
      <c r="AC142" t="s">
        <v>81</v>
      </c>
      <c r="AD142" t="s">
        <v>80</v>
      </c>
      <c r="AE142" t="s">
        <v>79</v>
      </c>
      <c r="AF142" t="s">
        <v>80</v>
      </c>
      <c r="AG142" t="s">
        <v>81</v>
      </c>
      <c r="AH142" t="s">
        <v>81</v>
      </c>
      <c r="AI142" t="s">
        <v>79</v>
      </c>
      <c r="AJ142">
        <v>3</v>
      </c>
      <c r="AK142">
        <v>3</v>
      </c>
      <c r="AL142">
        <v>3</v>
      </c>
      <c r="AM142" t="s">
        <v>115</v>
      </c>
    </row>
    <row r="143" spans="1:39" x14ac:dyDescent="0.35">
      <c r="A143">
        <v>30</v>
      </c>
      <c r="B143" t="str" cm="1">
        <f t="array" ref="B143">_xlfn.IFS(A143&lt;=25,"18-25",A143&lt;=33,"26-33",A143&lt;=41,"34-41",A143&lt;=49,"42-49",A143&gt;49,"50 or above")</f>
        <v>26-33</v>
      </c>
      <c r="C143" t="s">
        <v>62</v>
      </c>
      <c r="D143" t="s">
        <v>105</v>
      </c>
      <c r="E143" t="s">
        <v>86</v>
      </c>
      <c r="F143" t="s">
        <v>102</v>
      </c>
      <c r="G143" t="s">
        <v>66</v>
      </c>
      <c r="H143" t="s">
        <v>66</v>
      </c>
      <c r="I143">
        <v>1</v>
      </c>
      <c r="J143" t="s">
        <v>67</v>
      </c>
      <c r="K143" t="s">
        <v>68</v>
      </c>
      <c r="L143" t="s">
        <v>69</v>
      </c>
      <c r="P143" t="s">
        <v>93</v>
      </c>
      <c r="Q143" t="s">
        <v>98</v>
      </c>
      <c r="R143" t="s">
        <v>94</v>
      </c>
      <c r="S143" t="s">
        <v>107</v>
      </c>
      <c r="T143" t="s">
        <v>73</v>
      </c>
      <c r="V143" t="s">
        <v>96</v>
      </c>
      <c r="W143" t="s">
        <v>76</v>
      </c>
      <c r="X143" t="s">
        <v>77</v>
      </c>
      <c r="Z143" t="s">
        <v>81</v>
      </c>
      <c r="AA143" t="s">
        <v>79</v>
      </c>
      <c r="AB143" t="s">
        <v>81</v>
      </c>
      <c r="AC143" t="s">
        <v>80</v>
      </c>
      <c r="AD143" t="s">
        <v>81</v>
      </c>
      <c r="AE143" t="s">
        <v>81</v>
      </c>
      <c r="AF143" t="s">
        <v>80</v>
      </c>
      <c r="AG143" t="s">
        <v>81</v>
      </c>
      <c r="AH143" t="s">
        <v>81</v>
      </c>
      <c r="AI143" t="s">
        <v>81</v>
      </c>
      <c r="AJ143">
        <v>4</v>
      </c>
      <c r="AK143">
        <v>3</v>
      </c>
      <c r="AL143">
        <v>3</v>
      </c>
      <c r="AM143" t="s">
        <v>104</v>
      </c>
    </row>
    <row r="144" spans="1:39" x14ac:dyDescent="0.35">
      <c r="A144">
        <v>56</v>
      </c>
      <c r="B144" t="str" cm="1">
        <f t="array" ref="B144">_xlfn.IFS(A144&lt;=25,"18-25",A144&lt;=33,"26-33",A144&lt;=41,"34-41",A144&lt;=49,"42-49",A144&gt;49,"50 or above")</f>
        <v>50 or above</v>
      </c>
      <c r="C144" t="s">
        <v>62</v>
      </c>
      <c r="D144" t="s">
        <v>105</v>
      </c>
      <c r="E144" t="s">
        <v>109</v>
      </c>
      <c r="F144" t="s">
        <v>65</v>
      </c>
      <c r="G144" t="s">
        <v>66</v>
      </c>
      <c r="H144" t="s">
        <v>66</v>
      </c>
      <c r="I144">
        <v>1</v>
      </c>
      <c r="J144" t="s">
        <v>67</v>
      </c>
      <c r="K144" t="s">
        <v>68</v>
      </c>
      <c r="L144" t="s">
        <v>69</v>
      </c>
      <c r="P144" t="s">
        <v>67</v>
      </c>
      <c r="Q144" t="s">
        <v>70</v>
      </c>
      <c r="R144" t="s">
        <v>94</v>
      </c>
      <c r="S144" t="s">
        <v>95</v>
      </c>
      <c r="T144" t="s">
        <v>73</v>
      </c>
      <c r="U144" t="s">
        <v>74</v>
      </c>
      <c r="V144" t="s">
        <v>75</v>
      </c>
      <c r="W144" t="s">
        <v>76</v>
      </c>
      <c r="X144" t="s">
        <v>77</v>
      </c>
      <c r="Y144" t="s">
        <v>108</v>
      </c>
      <c r="Z144" t="s">
        <v>79</v>
      </c>
      <c r="AA144" t="s">
        <v>81</v>
      </c>
      <c r="AB144" t="s">
        <v>81</v>
      </c>
      <c r="AC144" t="s">
        <v>80</v>
      </c>
      <c r="AD144" t="s">
        <v>81</v>
      </c>
      <c r="AE144" t="s">
        <v>81</v>
      </c>
      <c r="AF144" t="s">
        <v>81</v>
      </c>
      <c r="AG144" t="s">
        <v>81</v>
      </c>
      <c r="AH144" t="s">
        <v>81</v>
      </c>
      <c r="AI144" t="s">
        <v>81</v>
      </c>
      <c r="AJ144">
        <v>4</v>
      </c>
      <c r="AK144">
        <v>3</v>
      </c>
      <c r="AL144">
        <v>3</v>
      </c>
      <c r="AM144" t="s">
        <v>82</v>
      </c>
    </row>
    <row r="145" spans="1:39" x14ac:dyDescent="0.35">
      <c r="A145">
        <v>33</v>
      </c>
      <c r="B145" t="str" cm="1">
        <f t="array" ref="B145">_xlfn.IFS(A145&lt;=25,"18-25",A145&lt;=33,"26-33",A145&lt;=41,"34-41",A145&lt;=49,"42-49",A145&gt;49,"50 or above")</f>
        <v>26-33</v>
      </c>
      <c r="C145" t="s">
        <v>62</v>
      </c>
      <c r="D145" t="s">
        <v>105</v>
      </c>
      <c r="E145" t="s">
        <v>86</v>
      </c>
      <c r="F145" t="s">
        <v>65</v>
      </c>
      <c r="G145" t="s">
        <v>66</v>
      </c>
      <c r="H145" t="s">
        <v>66</v>
      </c>
      <c r="I145">
        <v>1</v>
      </c>
      <c r="J145" t="s">
        <v>67</v>
      </c>
      <c r="K145" t="s">
        <v>68</v>
      </c>
      <c r="L145" t="s">
        <v>69</v>
      </c>
      <c r="P145" t="s">
        <v>67</v>
      </c>
      <c r="Q145" t="s">
        <v>98</v>
      </c>
      <c r="R145" t="s">
        <v>94</v>
      </c>
      <c r="S145" t="s">
        <v>113</v>
      </c>
      <c r="T145" t="s">
        <v>140</v>
      </c>
      <c r="U145" t="s">
        <v>74</v>
      </c>
      <c r="V145" t="s">
        <v>75</v>
      </c>
      <c r="W145" t="s">
        <v>76</v>
      </c>
      <c r="X145" t="s">
        <v>77</v>
      </c>
      <c r="Y145" t="s">
        <v>108</v>
      </c>
      <c r="Z145" t="s">
        <v>80</v>
      </c>
      <c r="AA145" t="s">
        <v>81</v>
      </c>
      <c r="AB145" t="s">
        <v>81</v>
      </c>
      <c r="AC145" t="s">
        <v>80</v>
      </c>
      <c r="AD145" t="s">
        <v>81</v>
      </c>
      <c r="AE145" t="s">
        <v>81</v>
      </c>
      <c r="AF145" t="s">
        <v>81</v>
      </c>
      <c r="AG145" t="s">
        <v>80</v>
      </c>
      <c r="AH145" t="s">
        <v>80</v>
      </c>
      <c r="AI145" t="s">
        <v>80</v>
      </c>
      <c r="AJ145">
        <v>3</v>
      </c>
      <c r="AK145">
        <v>4</v>
      </c>
      <c r="AL145">
        <v>3</v>
      </c>
      <c r="AM145" t="s">
        <v>104</v>
      </c>
    </row>
    <row r="146" spans="1:39" x14ac:dyDescent="0.35">
      <c r="A146">
        <v>25</v>
      </c>
      <c r="B146" t="str" cm="1">
        <f t="array" ref="B146">_xlfn.IFS(A146&lt;=25,"18-25",A146&lt;=33,"26-33",A146&lt;=41,"34-41",A146&lt;=49,"42-49",A146&gt;49,"50 or above")</f>
        <v>18-25</v>
      </c>
      <c r="C146" t="s">
        <v>62</v>
      </c>
      <c r="D146" t="s">
        <v>63</v>
      </c>
      <c r="E146" t="s">
        <v>64</v>
      </c>
      <c r="F146" t="s">
        <v>87</v>
      </c>
      <c r="G146" t="s">
        <v>66</v>
      </c>
      <c r="H146" t="s">
        <v>66</v>
      </c>
      <c r="I146">
        <v>1</v>
      </c>
      <c r="J146" t="s">
        <v>67</v>
      </c>
      <c r="P146" t="s">
        <v>67</v>
      </c>
      <c r="Q146" t="s">
        <v>98</v>
      </c>
      <c r="R146" t="s">
        <v>94</v>
      </c>
      <c r="S146" t="s">
        <v>72</v>
      </c>
      <c r="T146" t="s">
        <v>99</v>
      </c>
      <c r="U146" t="s">
        <v>74</v>
      </c>
      <c r="V146" t="s">
        <v>75</v>
      </c>
      <c r="W146" t="s">
        <v>76</v>
      </c>
      <c r="X146" t="s">
        <v>77</v>
      </c>
      <c r="Y146" t="s">
        <v>108</v>
      </c>
      <c r="Z146" t="s">
        <v>81</v>
      </c>
      <c r="AA146" t="s">
        <v>81</v>
      </c>
      <c r="AB146" t="s">
        <v>79</v>
      </c>
      <c r="AC146" t="s">
        <v>81</v>
      </c>
      <c r="AD146" t="s">
        <v>79</v>
      </c>
      <c r="AE146" t="s">
        <v>80</v>
      </c>
      <c r="AF146" t="s">
        <v>79</v>
      </c>
      <c r="AG146" t="s">
        <v>81</v>
      </c>
      <c r="AH146" t="s">
        <v>80</v>
      </c>
      <c r="AI146" t="s">
        <v>81</v>
      </c>
      <c r="AJ146">
        <v>4</v>
      </c>
      <c r="AK146">
        <v>3</v>
      </c>
      <c r="AL146">
        <v>3</v>
      </c>
      <c r="AM146" t="s">
        <v>115</v>
      </c>
    </row>
    <row r="147" spans="1:39" x14ac:dyDescent="0.35">
      <c r="A147">
        <v>60</v>
      </c>
      <c r="B147" t="str" cm="1">
        <f t="array" ref="B147">_xlfn.IFS(A147&lt;=25,"18-25",A147&lt;=33,"26-33",A147&lt;=41,"34-41",A147&lt;=49,"42-49",A147&gt;49,"50 or above")</f>
        <v>50 or above</v>
      </c>
      <c r="C147" t="s">
        <v>62</v>
      </c>
      <c r="D147" t="s">
        <v>116</v>
      </c>
      <c r="E147" t="s">
        <v>136</v>
      </c>
      <c r="F147" t="s">
        <v>65</v>
      </c>
      <c r="G147" t="s">
        <v>66</v>
      </c>
      <c r="H147" t="s">
        <v>66</v>
      </c>
      <c r="I147">
        <v>1</v>
      </c>
      <c r="J147" t="s">
        <v>67</v>
      </c>
      <c r="P147" t="s">
        <v>67</v>
      </c>
      <c r="Q147" t="s">
        <v>70</v>
      </c>
      <c r="R147" t="s">
        <v>71</v>
      </c>
      <c r="S147" t="s">
        <v>113</v>
      </c>
      <c r="T147" t="s">
        <v>73</v>
      </c>
      <c r="U147" t="s">
        <v>74</v>
      </c>
      <c r="V147" t="s">
        <v>75</v>
      </c>
      <c r="W147" t="s">
        <v>76</v>
      </c>
      <c r="X147" t="s">
        <v>77</v>
      </c>
      <c r="Z147" t="s">
        <v>80</v>
      </c>
      <c r="AA147" t="s">
        <v>81</v>
      </c>
      <c r="AB147" t="s">
        <v>80</v>
      </c>
      <c r="AC147" t="s">
        <v>81</v>
      </c>
      <c r="AD147" t="s">
        <v>81</v>
      </c>
      <c r="AE147" t="s">
        <v>81</v>
      </c>
      <c r="AF147" t="s">
        <v>80</v>
      </c>
      <c r="AG147" t="s">
        <v>80</v>
      </c>
      <c r="AH147" t="s">
        <v>80</v>
      </c>
      <c r="AI147" t="s">
        <v>80</v>
      </c>
      <c r="AJ147">
        <v>4</v>
      </c>
      <c r="AK147">
        <v>3</v>
      </c>
      <c r="AL147">
        <v>3</v>
      </c>
      <c r="AM147" t="s">
        <v>82</v>
      </c>
    </row>
    <row r="148" spans="1:39" x14ac:dyDescent="0.35">
      <c r="A148">
        <v>29</v>
      </c>
      <c r="B148" t="str" cm="1">
        <f t="array" ref="B148">_xlfn.IFS(A148&lt;=25,"18-25",A148&lt;=33,"26-33",A148&lt;=41,"34-41",A148&lt;=49,"42-49",A148&gt;49,"50 or above")</f>
        <v>26-33</v>
      </c>
      <c r="C148" t="s">
        <v>62</v>
      </c>
      <c r="D148" t="s">
        <v>116</v>
      </c>
      <c r="E148" t="s">
        <v>109</v>
      </c>
      <c r="F148" t="s">
        <v>65</v>
      </c>
      <c r="G148" t="s">
        <v>66</v>
      </c>
      <c r="H148" t="s">
        <v>66</v>
      </c>
      <c r="I148">
        <v>1</v>
      </c>
      <c r="J148" t="s">
        <v>67</v>
      </c>
      <c r="P148" t="s">
        <v>67</v>
      </c>
      <c r="Q148" t="s">
        <v>70</v>
      </c>
      <c r="R148" t="s">
        <v>71</v>
      </c>
      <c r="S148" t="s">
        <v>130</v>
      </c>
      <c r="T148" t="s">
        <v>73</v>
      </c>
      <c r="U148" t="s">
        <v>74</v>
      </c>
      <c r="V148" t="s">
        <v>75</v>
      </c>
      <c r="W148" t="s">
        <v>76</v>
      </c>
      <c r="X148" t="s">
        <v>77</v>
      </c>
      <c r="Z148" t="s">
        <v>81</v>
      </c>
      <c r="AA148" t="s">
        <v>81</v>
      </c>
      <c r="AB148" t="s">
        <v>80</v>
      </c>
      <c r="AC148" t="s">
        <v>81</v>
      </c>
      <c r="AD148" t="s">
        <v>81</v>
      </c>
      <c r="AE148" t="s">
        <v>81</v>
      </c>
      <c r="AF148" t="s">
        <v>80</v>
      </c>
      <c r="AG148" t="s">
        <v>80</v>
      </c>
      <c r="AH148" t="s">
        <v>80</v>
      </c>
      <c r="AI148" t="s">
        <v>80</v>
      </c>
      <c r="AJ148">
        <v>3</v>
      </c>
      <c r="AK148">
        <v>3</v>
      </c>
      <c r="AL148">
        <v>3</v>
      </c>
      <c r="AM148" t="s">
        <v>82</v>
      </c>
    </row>
    <row r="149" spans="1:39" x14ac:dyDescent="0.35">
      <c r="A149">
        <v>45</v>
      </c>
      <c r="B149" t="str" cm="1">
        <f t="array" ref="B149">_xlfn.IFS(A149&lt;=25,"18-25",A149&lt;=33,"26-33",A149&lt;=41,"34-41",A149&lt;=49,"42-49",A149&gt;49,"50 or above")</f>
        <v>42-49</v>
      </c>
      <c r="C149" t="s">
        <v>62</v>
      </c>
      <c r="D149" t="s">
        <v>105</v>
      </c>
      <c r="E149" t="s">
        <v>109</v>
      </c>
      <c r="F149" t="s">
        <v>102</v>
      </c>
      <c r="G149" t="s">
        <v>66</v>
      </c>
      <c r="H149" t="s">
        <v>66</v>
      </c>
      <c r="I149">
        <v>1</v>
      </c>
      <c r="J149" t="s">
        <v>67</v>
      </c>
      <c r="K149" t="s">
        <v>68</v>
      </c>
      <c r="L149" t="s">
        <v>69</v>
      </c>
      <c r="P149" t="s">
        <v>93</v>
      </c>
      <c r="Q149" t="s">
        <v>70</v>
      </c>
      <c r="R149" t="s">
        <v>71</v>
      </c>
      <c r="S149" t="s">
        <v>95</v>
      </c>
      <c r="T149" t="s">
        <v>99</v>
      </c>
      <c r="U149" t="s">
        <v>74</v>
      </c>
      <c r="V149" t="s">
        <v>75</v>
      </c>
      <c r="W149" t="s">
        <v>76</v>
      </c>
      <c r="X149" t="s">
        <v>77</v>
      </c>
      <c r="Y149" t="s">
        <v>108</v>
      </c>
      <c r="Z149" t="s">
        <v>81</v>
      </c>
      <c r="AA149" t="s">
        <v>81</v>
      </c>
      <c r="AB149" t="s">
        <v>81</v>
      </c>
      <c r="AC149" t="s">
        <v>80</v>
      </c>
      <c r="AD149" t="s">
        <v>80</v>
      </c>
      <c r="AE149" t="s">
        <v>81</v>
      </c>
      <c r="AF149" t="s">
        <v>80</v>
      </c>
      <c r="AG149" t="s">
        <v>80</v>
      </c>
      <c r="AH149" t="s">
        <v>80</v>
      </c>
      <c r="AI149" t="s">
        <v>80</v>
      </c>
      <c r="AJ149">
        <v>4</v>
      </c>
      <c r="AK149">
        <v>3</v>
      </c>
      <c r="AL149">
        <v>3</v>
      </c>
      <c r="AM149" t="s">
        <v>82</v>
      </c>
    </row>
    <row r="150" spans="1:39" x14ac:dyDescent="0.35">
      <c r="A150">
        <v>24</v>
      </c>
      <c r="B150" t="str" cm="1">
        <f t="array" ref="B150">_xlfn.IFS(A150&lt;=25,"18-25",A150&lt;=33,"26-33",A150&lt;=41,"34-41",A150&lt;=49,"42-49",A150&gt;49,"50 or above")</f>
        <v>18-25</v>
      </c>
      <c r="C150" t="s">
        <v>62</v>
      </c>
      <c r="D150" t="s">
        <v>105</v>
      </c>
      <c r="E150" t="s">
        <v>64</v>
      </c>
      <c r="F150" t="s">
        <v>65</v>
      </c>
      <c r="G150" t="s">
        <v>66</v>
      </c>
      <c r="H150" t="s">
        <v>66</v>
      </c>
      <c r="I150">
        <v>1</v>
      </c>
      <c r="J150" t="s">
        <v>67</v>
      </c>
      <c r="K150" t="s">
        <v>68</v>
      </c>
      <c r="L150" t="s">
        <v>69</v>
      </c>
      <c r="P150" t="s">
        <v>67</v>
      </c>
      <c r="Q150" t="s">
        <v>70</v>
      </c>
      <c r="R150" t="s">
        <v>92</v>
      </c>
      <c r="S150" t="s">
        <v>107</v>
      </c>
      <c r="T150" t="s">
        <v>73</v>
      </c>
      <c r="U150" t="s">
        <v>74</v>
      </c>
      <c r="V150" t="s">
        <v>75</v>
      </c>
      <c r="W150" t="s">
        <v>76</v>
      </c>
      <c r="X150" t="s">
        <v>77</v>
      </c>
      <c r="Z150" t="s">
        <v>81</v>
      </c>
      <c r="AA150" t="s">
        <v>81</v>
      </c>
      <c r="AB150" t="s">
        <v>80</v>
      </c>
      <c r="AC150" t="s">
        <v>81</v>
      </c>
      <c r="AD150" t="s">
        <v>80</v>
      </c>
      <c r="AE150" t="s">
        <v>80</v>
      </c>
      <c r="AF150" t="s">
        <v>80</v>
      </c>
      <c r="AG150" t="s">
        <v>81</v>
      </c>
      <c r="AH150" t="s">
        <v>80</v>
      </c>
      <c r="AI150" t="s">
        <v>80</v>
      </c>
      <c r="AJ150">
        <v>4</v>
      </c>
      <c r="AK150">
        <v>3</v>
      </c>
      <c r="AL150">
        <v>3</v>
      </c>
      <c r="AM150" t="s">
        <v>115</v>
      </c>
    </row>
    <row r="151" spans="1:39" x14ac:dyDescent="0.35">
      <c r="A151">
        <v>36</v>
      </c>
      <c r="B151" t="str" cm="1">
        <f t="array" ref="B151">_xlfn.IFS(A151&lt;=25,"18-25",A151&lt;=33,"26-33",A151&lt;=41,"34-41",A151&lt;=49,"42-49",A151&gt;49,"50 or above")</f>
        <v>34-41</v>
      </c>
      <c r="C151" t="s">
        <v>62</v>
      </c>
      <c r="D151" t="s">
        <v>116</v>
      </c>
      <c r="E151" t="s">
        <v>109</v>
      </c>
      <c r="F151" t="s">
        <v>65</v>
      </c>
      <c r="G151" t="s">
        <v>66</v>
      </c>
      <c r="H151" t="s">
        <v>66</v>
      </c>
      <c r="I151">
        <v>1</v>
      </c>
      <c r="J151" t="s">
        <v>67</v>
      </c>
      <c r="K151" t="s">
        <v>68</v>
      </c>
      <c r="L151" t="s">
        <v>69</v>
      </c>
      <c r="P151" t="s">
        <v>67</v>
      </c>
      <c r="Q151" t="s">
        <v>70</v>
      </c>
      <c r="R151" t="s">
        <v>92</v>
      </c>
      <c r="S151" t="s">
        <v>72</v>
      </c>
      <c r="T151" t="s">
        <v>99</v>
      </c>
      <c r="U151" t="s">
        <v>74</v>
      </c>
      <c r="V151" t="s">
        <v>75</v>
      </c>
      <c r="W151" t="s">
        <v>76</v>
      </c>
      <c r="X151" t="s">
        <v>77</v>
      </c>
      <c r="Z151" t="s">
        <v>81</v>
      </c>
      <c r="AA151" t="s">
        <v>81</v>
      </c>
      <c r="AB151" t="s">
        <v>80</v>
      </c>
      <c r="AC151" t="s">
        <v>80</v>
      </c>
      <c r="AD151" t="s">
        <v>81</v>
      </c>
      <c r="AE151" t="s">
        <v>80</v>
      </c>
      <c r="AF151" t="s">
        <v>80</v>
      </c>
      <c r="AG151" t="s">
        <v>80</v>
      </c>
      <c r="AH151" t="s">
        <v>81</v>
      </c>
      <c r="AI151" t="s">
        <v>80</v>
      </c>
      <c r="AJ151">
        <v>4</v>
      </c>
      <c r="AK151">
        <v>3</v>
      </c>
      <c r="AL151">
        <v>4</v>
      </c>
      <c r="AM151" t="s">
        <v>82</v>
      </c>
    </row>
    <row r="152" spans="1:39" x14ac:dyDescent="0.35">
      <c r="A152">
        <v>62</v>
      </c>
      <c r="B152" t="str" cm="1">
        <f t="array" ref="B152">_xlfn.IFS(A152&lt;=25,"18-25",A152&lt;=33,"26-33",A152&lt;=41,"34-41",A152&lt;=49,"42-49",A152&gt;49,"50 or above")</f>
        <v>50 or above</v>
      </c>
      <c r="C152" t="s">
        <v>62</v>
      </c>
      <c r="D152" t="s">
        <v>105</v>
      </c>
      <c r="E152" t="s">
        <v>86</v>
      </c>
      <c r="F152" t="s">
        <v>87</v>
      </c>
      <c r="G152" t="s">
        <v>66</v>
      </c>
      <c r="H152" t="s">
        <v>66</v>
      </c>
      <c r="I152">
        <v>1</v>
      </c>
      <c r="J152" t="s">
        <v>67</v>
      </c>
      <c r="K152" t="s">
        <v>68</v>
      </c>
      <c r="P152" t="s">
        <v>93</v>
      </c>
      <c r="Q152" t="s">
        <v>103</v>
      </c>
      <c r="R152" t="s">
        <v>94</v>
      </c>
      <c r="S152" t="s">
        <v>72</v>
      </c>
      <c r="T152" t="s">
        <v>112</v>
      </c>
      <c r="X152" t="s">
        <v>131</v>
      </c>
      <c r="Y152" t="s">
        <v>108</v>
      </c>
      <c r="Z152" t="s">
        <v>79</v>
      </c>
      <c r="AA152" t="s">
        <v>80</v>
      </c>
      <c r="AB152" t="s">
        <v>81</v>
      </c>
      <c r="AC152" t="s">
        <v>79</v>
      </c>
      <c r="AD152" t="s">
        <v>78</v>
      </c>
      <c r="AE152" t="s">
        <v>78</v>
      </c>
      <c r="AF152" t="s">
        <v>81</v>
      </c>
      <c r="AG152" t="s">
        <v>79</v>
      </c>
      <c r="AH152" t="s">
        <v>80</v>
      </c>
      <c r="AI152" t="s">
        <v>81</v>
      </c>
      <c r="AJ152">
        <v>4</v>
      </c>
      <c r="AK152">
        <v>5</v>
      </c>
      <c r="AL152">
        <v>4</v>
      </c>
      <c r="AM152" t="s">
        <v>146</v>
      </c>
    </row>
    <row r="153" spans="1:39" x14ac:dyDescent="0.35">
      <c r="A153">
        <v>30</v>
      </c>
      <c r="B153" t="str" cm="1">
        <f t="array" ref="B153">_xlfn.IFS(A153&lt;=25,"18-25",A153&lt;=33,"26-33",A153&lt;=41,"34-41",A153&lt;=49,"42-49",A153&gt;49,"50 or above")</f>
        <v>26-33</v>
      </c>
      <c r="C153" t="s">
        <v>62</v>
      </c>
      <c r="D153" t="s">
        <v>116</v>
      </c>
      <c r="E153" t="s">
        <v>64</v>
      </c>
      <c r="F153" t="s">
        <v>65</v>
      </c>
      <c r="G153" t="s">
        <v>66</v>
      </c>
      <c r="H153" t="s">
        <v>66</v>
      </c>
      <c r="I153">
        <v>1</v>
      </c>
      <c r="K153" t="s">
        <v>93</v>
      </c>
      <c r="P153" t="s">
        <v>93</v>
      </c>
      <c r="Q153" t="s">
        <v>103</v>
      </c>
      <c r="R153" t="s">
        <v>92</v>
      </c>
      <c r="S153" t="s">
        <v>107</v>
      </c>
      <c r="T153" t="s">
        <v>99</v>
      </c>
      <c r="U153" t="s">
        <v>74</v>
      </c>
      <c r="Z153" t="s">
        <v>79</v>
      </c>
      <c r="AA153" t="s">
        <v>80</v>
      </c>
      <c r="AB153" t="s">
        <v>80</v>
      </c>
      <c r="AC153" t="s">
        <v>80</v>
      </c>
      <c r="AD153" t="s">
        <v>80</v>
      </c>
      <c r="AE153" t="s">
        <v>81</v>
      </c>
      <c r="AF153" t="s">
        <v>80</v>
      </c>
      <c r="AG153" t="s">
        <v>81</v>
      </c>
      <c r="AH153" t="s">
        <v>80</v>
      </c>
      <c r="AI153" t="s">
        <v>80</v>
      </c>
      <c r="AJ153">
        <v>3</v>
      </c>
      <c r="AK153">
        <v>3</v>
      </c>
      <c r="AL153">
        <v>3</v>
      </c>
      <c r="AM153" t="s">
        <v>82</v>
      </c>
    </row>
    <row r="154" spans="1:39" x14ac:dyDescent="0.35">
      <c r="A154">
        <v>28</v>
      </c>
      <c r="B154" t="str" cm="1">
        <f t="array" ref="B154">_xlfn.IFS(A154&lt;=25,"18-25",A154&lt;=33,"26-33",A154&lt;=41,"34-41",A154&lt;=49,"42-49",A154&gt;49,"50 or above")</f>
        <v>26-33</v>
      </c>
      <c r="C154" t="s">
        <v>62</v>
      </c>
      <c r="D154" t="s">
        <v>63</v>
      </c>
      <c r="E154" t="s">
        <v>109</v>
      </c>
      <c r="F154" t="s">
        <v>102</v>
      </c>
      <c r="G154" t="s">
        <v>66</v>
      </c>
      <c r="H154" t="s">
        <v>66</v>
      </c>
      <c r="I154">
        <v>1</v>
      </c>
      <c r="J154" t="s">
        <v>67</v>
      </c>
      <c r="K154" t="s">
        <v>68</v>
      </c>
      <c r="L154" t="s">
        <v>69</v>
      </c>
      <c r="P154" t="s">
        <v>93</v>
      </c>
      <c r="Q154" t="s">
        <v>117</v>
      </c>
      <c r="R154" t="s">
        <v>94</v>
      </c>
      <c r="S154" t="s">
        <v>72</v>
      </c>
      <c r="T154" t="s">
        <v>99</v>
      </c>
      <c r="U154" t="s">
        <v>74</v>
      </c>
      <c r="V154" t="s">
        <v>75</v>
      </c>
      <c r="Z154" t="s">
        <v>81</v>
      </c>
      <c r="AA154" t="s">
        <v>81</v>
      </c>
      <c r="AB154" t="s">
        <v>80</v>
      </c>
      <c r="AC154" t="s">
        <v>81</v>
      </c>
      <c r="AD154" t="s">
        <v>81</v>
      </c>
      <c r="AE154" t="s">
        <v>81</v>
      </c>
      <c r="AF154" t="s">
        <v>80</v>
      </c>
      <c r="AG154" t="s">
        <v>80</v>
      </c>
      <c r="AH154" t="s">
        <v>80</v>
      </c>
      <c r="AI154" t="s">
        <v>81</v>
      </c>
      <c r="AJ154">
        <v>3</v>
      </c>
      <c r="AK154">
        <v>3</v>
      </c>
      <c r="AL154">
        <v>3</v>
      </c>
      <c r="AM154" t="s">
        <v>82</v>
      </c>
    </row>
    <row r="155" spans="1:39" x14ac:dyDescent="0.35">
      <c r="A155">
        <v>27</v>
      </c>
      <c r="B155" t="str" cm="1">
        <f t="array" ref="B155">_xlfn.IFS(A155&lt;=25,"18-25",A155&lt;=33,"26-33",A155&lt;=41,"34-41",A155&lt;=49,"42-49",A155&gt;49,"50 or above")</f>
        <v>26-33</v>
      </c>
      <c r="C155" t="s">
        <v>62</v>
      </c>
      <c r="D155" t="s">
        <v>105</v>
      </c>
      <c r="E155" t="s">
        <v>64</v>
      </c>
      <c r="F155" t="s">
        <v>87</v>
      </c>
      <c r="G155" t="s">
        <v>66</v>
      </c>
      <c r="H155" t="s">
        <v>66</v>
      </c>
      <c r="I155">
        <v>1</v>
      </c>
      <c r="K155" t="s">
        <v>93</v>
      </c>
      <c r="L155" t="s">
        <v>69</v>
      </c>
      <c r="P155" t="s">
        <v>93</v>
      </c>
      <c r="Q155" t="s">
        <v>117</v>
      </c>
      <c r="R155" t="s">
        <v>94</v>
      </c>
      <c r="S155" t="s">
        <v>72</v>
      </c>
      <c r="T155" t="s">
        <v>73</v>
      </c>
      <c r="U155" t="s">
        <v>74</v>
      </c>
      <c r="V155" t="s">
        <v>75</v>
      </c>
      <c r="W155" t="s">
        <v>76</v>
      </c>
      <c r="Z155" t="s">
        <v>81</v>
      </c>
      <c r="AA155" t="s">
        <v>81</v>
      </c>
      <c r="AB155" t="s">
        <v>80</v>
      </c>
      <c r="AC155" t="s">
        <v>80</v>
      </c>
      <c r="AD155" t="s">
        <v>81</v>
      </c>
      <c r="AE155" t="s">
        <v>81</v>
      </c>
      <c r="AF155" t="s">
        <v>81</v>
      </c>
      <c r="AG155" t="s">
        <v>80</v>
      </c>
      <c r="AH155" t="s">
        <v>81</v>
      </c>
      <c r="AI155" t="s">
        <v>81</v>
      </c>
      <c r="AJ155">
        <v>3</v>
      </c>
      <c r="AK155">
        <v>3</v>
      </c>
      <c r="AL155">
        <v>3</v>
      </c>
      <c r="AM155" t="s">
        <v>82</v>
      </c>
    </row>
    <row r="156" spans="1:39" x14ac:dyDescent="0.35">
      <c r="A156">
        <v>27</v>
      </c>
      <c r="B156" t="str" cm="1">
        <f t="array" ref="B156">_xlfn.IFS(A156&lt;=25,"18-25",A156&lt;=33,"26-33",A156&lt;=41,"34-41",A156&lt;=49,"42-49",A156&gt;49,"50 or above")</f>
        <v>26-33</v>
      </c>
      <c r="C156" t="s">
        <v>89</v>
      </c>
      <c r="D156" t="s">
        <v>116</v>
      </c>
      <c r="E156" t="s">
        <v>109</v>
      </c>
      <c r="F156" t="s">
        <v>65</v>
      </c>
      <c r="G156" t="s">
        <v>66</v>
      </c>
      <c r="H156" t="s">
        <v>66</v>
      </c>
      <c r="I156">
        <v>1</v>
      </c>
      <c r="J156" t="s">
        <v>67</v>
      </c>
      <c r="K156" t="s">
        <v>68</v>
      </c>
      <c r="L156" t="s">
        <v>69</v>
      </c>
      <c r="P156" t="s">
        <v>93</v>
      </c>
      <c r="Q156" t="s">
        <v>70</v>
      </c>
      <c r="R156" t="s">
        <v>110</v>
      </c>
      <c r="S156" t="s">
        <v>130</v>
      </c>
      <c r="T156" t="s">
        <v>73</v>
      </c>
      <c r="U156" t="s">
        <v>74</v>
      </c>
      <c r="V156" t="s">
        <v>75</v>
      </c>
      <c r="W156" t="s">
        <v>76</v>
      </c>
      <c r="X156" t="s">
        <v>108</v>
      </c>
      <c r="Z156" t="s">
        <v>78</v>
      </c>
      <c r="AA156" t="s">
        <v>80</v>
      </c>
      <c r="AB156" t="s">
        <v>79</v>
      </c>
      <c r="AC156" t="s">
        <v>78</v>
      </c>
      <c r="AD156" t="s">
        <v>79</v>
      </c>
      <c r="AE156" t="s">
        <v>78</v>
      </c>
      <c r="AF156" t="s">
        <v>78</v>
      </c>
      <c r="AG156" t="s">
        <v>78</v>
      </c>
      <c r="AH156" t="s">
        <v>78</v>
      </c>
      <c r="AI156" t="s">
        <v>78</v>
      </c>
      <c r="AJ156">
        <v>5</v>
      </c>
      <c r="AK156">
        <v>5</v>
      </c>
      <c r="AL156">
        <v>5</v>
      </c>
      <c r="AM156" t="s">
        <v>104</v>
      </c>
    </row>
    <row r="157" spans="1:39" x14ac:dyDescent="0.35">
      <c r="A157">
        <v>34</v>
      </c>
      <c r="B157" t="str" cm="1">
        <f t="array" ref="B157">_xlfn.IFS(A157&lt;=25,"18-25",A157&lt;=33,"26-33",A157&lt;=41,"34-41",A157&lt;=49,"42-49",A157&gt;49,"50 or above")</f>
        <v>34-41</v>
      </c>
      <c r="C157" t="s">
        <v>62</v>
      </c>
      <c r="D157" t="s">
        <v>105</v>
      </c>
      <c r="E157" t="s">
        <v>86</v>
      </c>
      <c r="F157" t="s">
        <v>102</v>
      </c>
      <c r="G157" t="s">
        <v>66</v>
      </c>
      <c r="H157" t="s">
        <v>66</v>
      </c>
      <c r="I157">
        <v>1</v>
      </c>
      <c r="J157" t="s">
        <v>67</v>
      </c>
      <c r="P157" t="s">
        <v>67</v>
      </c>
      <c r="Q157" t="s">
        <v>103</v>
      </c>
      <c r="R157" t="s">
        <v>94</v>
      </c>
      <c r="S157" t="s">
        <v>72</v>
      </c>
      <c r="T157" t="s">
        <v>99</v>
      </c>
      <c r="U157" t="s">
        <v>74</v>
      </c>
      <c r="W157" t="s">
        <v>76</v>
      </c>
      <c r="X157" t="s">
        <v>77</v>
      </c>
      <c r="Z157" t="s">
        <v>81</v>
      </c>
      <c r="AA157" t="s">
        <v>80</v>
      </c>
      <c r="AB157" t="s">
        <v>80</v>
      </c>
      <c r="AC157" t="s">
        <v>81</v>
      </c>
      <c r="AD157" t="s">
        <v>80</v>
      </c>
      <c r="AE157" t="s">
        <v>81</v>
      </c>
      <c r="AF157" t="s">
        <v>81</v>
      </c>
      <c r="AG157" t="s">
        <v>80</v>
      </c>
      <c r="AH157" t="s">
        <v>80</v>
      </c>
      <c r="AI157" t="s">
        <v>80</v>
      </c>
      <c r="AJ157">
        <v>4</v>
      </c>
      <c r="AK157">
        <v>4</v>
      </c>
      <c r="AL157">
        <v>4</v>
      </c>
      <c r="AM157" t="s">
        <v>82</v>
      </c>
    </row>
    <row r="158" spans="1:39" x14ac:dyDescent="0.35">
      <c r="A158">
        <v>39</v>
      </c>
      <c r="B158" t="str" cm="1">
        <f t="array" ref="B158">_xlfn.IFS(A158&lt;=25,"18-25",A158&lt;=33,"26-33",A158&lt;=41,"34-41",A158&lt;=49,"42-49",A158&gt;49,"50 or above")</f>
        <v>34-41</v>
      </c>
      <c r="C158" t="s">
        <v>62</v>
      </c>
      <c r="D158" t="s">
        <v>116</v>
      </c>
      <c r="E158" t="s">
        <v>109</v>
      </c>
      <c r="F158" t="s">
        <v>102</v>
      </c>
      <c r="G158" t="s">
        <v>66</v>
      </c>
      <c r="H158" t="s">
        <v>66</v>
      </c>
      <c r="I158">
        <v>1</v>
      </c>
      <c r="J158" t="s">
        <v>67</v>
      </c>
      <c r="K158" t="s">
        <v>68</v>
      </c>
      <c r="P158" t="s">
        <v>67</v>
      </c>
      <c r="Q158" t="s">
        <v>70</v>
      </c>
      <c r="R158" t="s">
        <v>92</v>
      </c>
      <c r="S158" t="s">
        <v>72</v>
      </c>
      <c r="T158" t="s">
        <v>73</v>
      </c>
      <c r="U158" t="s">
        <v>74</v>
      </c>
      <c r="V158" t="s">
        <v>75</v>
      </c>
      <c r="W158" t="s">
        <v>76</v>
      </c>
      <c r="X158" t="s">
        <v>77</v>
      </c>
      <c r="Z158" t="s">
        <v>81</v>
      </c>
      <c r="AA158" t="s">
        <v>80</v>
      </c>
      <c r="AB158" t="s">
        <v>81</v>
      </c>
      <c r="AC158" t="s">
        <v>80</v>
      </c>
      <c r="AD158" t="s">
        <v>81</v>
      </c>
      <c r="AE158" t="s">
        <v>81</v>
      </c>
      <c r="AF158" t="s">
        <v>80</v>
      </c>
      <c r="AG158" t="s">
        <v>80</v>
      </c>
      <c r="AH158" t="s">
        <v>80</v>
      </c>
      <c r="AI158" t="s">
        <v>80</v>
      </c>
      <c r="AJ158">
        <v>3</v>
      </c>
      <c r="AK158">
        <v>3</v>
      </c>
      <c r="AL158">
        <v>3</v>
      </c>
      <c r="AM158" t="s">
        <v>82</v>
      </c>
    </row>
    <row r="159" spans="1:39" x14ac:dyDescent="0.35">
      <c r="A159">
        <v>45</v>
      </c>
      <c r="B159" t="str" cm="1">
        <f t="array" ref="B159">_xlfn.IFS(A159&lt;=25,"18-25",A159&lt;=33,"26-33",A159&lt;=41,"34-41",A159&lt;=49,"42-49",A159&gt;49,"50 or above")</f>
        <v>42-49</v>
      </c>
      <c r="C159" t="s">
        <v>62</v>
      </c>
      <c r="D159" t="s">
        <v>116</v>
      </c>
      <c r="E159" t="s">
        <v>86</v>
      </c>
      <c r="F159" t="s">
        <v>65</v>
      </c>
      <c r="G159" t="s">
        <v>66</v>
      </c>
      <c r="H159" t="s">
        <v>66</v>
      </c>
      <c r="I159">
        <v>1</v>
      </c>
      <c r="J159" t="s">
        <v>67</v>
      </c>
      <c r="P159" t="s">
        <v>67</v>
      </c>
      <c r="Q159" t="s">
        <v>103</v>
      </c>
      <c r="R159" t="s">
        <v>94</v>
      </c>
      <c r="S159" t="s">
        <v>72</v>
      </c>
      <c r="T159" t="s">
        <v>99</v>
      </c>
      <c r="U159" t="s">
        <v>74</v>
      </c>
      <c r="V159" t="s">
        <v>75</v>
      </c>
      <c r="W159" t="s">
        <v>76</v>
      </c>
      <c r="X159" t="s">
        <v>77</v>
      </c>
      <c r="Z159" t="s">
        <v>81</v>
      </c>
      <c r="AA159" t="s">
        <v>80</v>
      </c>
      <c r="AB159" t="s">
        <v>80</v>
      </c>
      <c r="AC159" t="s">
        <v>81</v>
      </c>
      <c r="AD159" t="s">
        <v>80</v>
      </c>
      <c r="AE159" t="s">
        <v>81</v>
      </c>
      <c r="AF159" t="s">
        <v>81</v>
      </c>
      <c r="AG159" t="s">
        <v>80</v>
      </c>
      <c r="AH159" t="s">
        <v>81</v>
      </c>
      <c r="AI159" t="s">
        <v>81</v>
      </c>
      <c r="AJ159">
        <v>4</v>
      </c>
      <c r="AK159">
        <v>3</v>
      </c>
      <c r="AL159">
        <v>3</v>
      </c>
      <c r="AM159" t="s">
        <v>82</v>
      </c>
    </row>
    <row r="160" spans="1:39" x14ac:dyDescent="0.35">
      <c r="A160">
        <v>47</v>
      </c>
      <c r="B160" t="str" cm="1">
        <f t="array" ref="B160">_xlfn.IFS(A160&lt;=25,"18-25",A160&lt;=33,"26-33",A160&lt;=41,"34-41",A160&lt;=49,"42-49",A160&gt;49,"50 or above")</f>
        <v>42-49</v>
      </c>
      <c r="C160" t="s">
        <v>62</v>
      </c>
      <c r="D160" t="s">
        <v>105</v>
      </c>
      <c r="E160" t="s">
        <v>86</v>
      </c>
      <c r="F160" t="s">
        <v>102</v>
      </c>
      <c r="G160" t="s">
        <v>66</v>
      </c>
      <c r="H160" t="s">
        <v>66</v>
      </c>
      <c r="I160">
        <v>1</v>
      </c>
      <c r="J160" t="s">
        <v>67</v>
      </c>
      <c r="P160" t="s">
        <v>67</v>
      </c>
      <c r="Q160" t="s">
        <v>98</v>
      </c>
      <c r="R160" t="s">
        <v>92</v>
      </c>
      <c r="S160" t="s">
        <v>107</v>
      </c>
      <c r="T160" t="s">
        <v>99</v>
      </c>
      <c r="U160" t="s">
        <v>74</v>
      </c>
      <c r="V160" t="s">
        <v>75</v>
      </c>
      <c r="W160" t="s">
        <v>76</v>
      </c>
      <c r="X160" t="s">
        <v>77</v>
      </c>
      <c r="Z160" t="s">
        <v>79</v>
      </c>
      <c r="AA160" t="s">
        <v>81</v>
      </c>
      <c r="AB160" t="s">
        <v>81</v>
      </c>
      <c r="AC160" t="s">
        <v>80</v>
      </c>
      <c r="AD160" t="s">
        <v>80</v>
      </c>
      <c r="AE160" t="s">
        <v>81</v>
      </c>
      <c r="AF160" t="s">
        <v>81</v>
      </c>
      <c r="AG160" t="s">
        <v>80</v>
      </c>
      <c r="AH160" t="s">
        <v>80</v>
      </c>
      <c r="AI160" t="s">
        <v>80</v>
      </c>
      <c r="AJ160">
        <v>3</v>
      </c>
      <c r="AK160">
        <v>3</v>
      </c>
      <c r="AL160">
        <v>3</v>
      </c>
      <c r="AM160" t="s">
        <v>82</v>
      </c>
    </row>
    <row r="161" spans="1:39" x14ac:dyDescent="0.35">
      <c r="A161">
        <v>34</v>
      </c>
      <c r="B161" t="str" cm="1">
        <f t="array" ref="B161">_xlfn.IFS(A161&lt;=25,"18-25",A161&lt;=33,"26-33",A161&lt;=41,"34-41",A161&lt;=49,"42-49",A161&gt;49,"50 or above")</f>
        <v>34-41</v>
      </c>
      <c r="C161" t="s">
        <v>62</v>
      </c>
      <c r="D161" t="s">
        <v>105</v>
      </c>
      <c r="E161" t="s">
        <v>86</v>
      </c>
      <c r="F161" t="s">
        <v>65</v>
      </c>
      <c r="G161" t="s">
        <v>66</v>
      </c>
      <c r="H161" t="s">
        <v>66</v>
      </c>
      <c r="I161">
        <v>1</v>
      </c>
      <c r="J161" t="s">
        <v>67</v>
      </c>
      <c r="K161" t="s">
        <v>68</v>
      </c>
      <c r="L161" t="s">
        <v>69</v>
      </c>
      <c r="P161" t="s">
        <v>67</v>
      </c>
      <c r="Q161" t="s">
        <v>70</v>
      </c>
      <c r="R161" t="s">
        <v>92</v>
      </c>
      <c r="S161" t="s">
        <v>95</v>
      </c>
      <c r="T161" t="s">
        <v>99</v>
      </c>
      <c r="U161" t="s">
        <v>74</v>
      </c>
      <c r="V161" t="s">
        <v>75</v>
      </c>
      <c r="W161" t="s">
        <v>76</v>
      </c>
      <c r="X161" t="s">
        <v>77</v>
      </c>
      <c r="Z161" t="s">
        <v>81</v>
      </c>
      <c r="AA161" t="s">
        <v>81</v>
      </c>
      <c r="AB161" t="s">
        <v>80</v>
      </c>
      <c r="AC161" t="s">
        <v>80</v>
      </c>
      <c r="AD161" t="s">
        <v>81</v>
      </c>
      <c r="AE161" t="s">
        <v>81</v>
      </c>
      <c r="AF161" t="s">
        <v>80</v>
      </c>
      <c r="AG161" t="s">
        <v>80</v>
      </c>
      <c r="AH161" t="s">
        <v>80</v>
      </c>
      <c r="AI161" t="s">
        <v>81</v>
      </c>
      <c r="AJ161">
        <v>3</v>
      </c>
      <c r="AK161">
        <v>3</v>
      </c>
      <c r="AL161">
        <v>3</v>
      </c>
      <c r="AM161" t="s">
        <v>82</v>
      </c>
    </row>
    <row r="162" spans="1:39" x14ac:dyDescent="0.35">
      <c r="A162">
        <v>35</v>
      </c>
      <c r="B162" t="str" cm="1">
        <f t="array" ref="B162">_xlfn.IFS(A162&lt;=25,"18-25",A162&lt;=33,"26-33",A162&lt;=41,"34-41",A162&lt;=49,"42-49",A162&gt;49,"50 or above")</f>
        <v>34-41</v>
      </c>
      <c r="C162" t="s">
        <v>62</v>
      </c>
      <c r="D162" t="s">
        <v>63</v>
      </c>
      <c r="E162" t="s">
        <v>86</v>
      </c>
      <c r="F162" t="s">
        <v>65</v>
      </c>
      <c r="G162" t="s">
        <v>66</v>
      </c>
      <c r="H162" t="s">
        <v>66</v>
      </c>
      <c r="I162">
        <v>1</v>
      </c>
      <c r="J162" t="s">
        <v>67</v>
      </c>
      <c r="K162" t="s">
        <v>68</v>
      </c>
      <c r="L162" t="s">
        <v>69</v>
      </c>
      <c r="P162" t="s">
        <v>91</v>
      </c>
      <c r="Q162" t="s">
        <v>70</v>
      </c>
      <c r="R162" t="s">
        <v>110</v>
      </c>
      <c r="S162" t="s">
        <v>130</v>
      </c>
      <c r="T162" t="s">
        <v>99</v>
      </c>
      <c r="V162" t="s">
        <v>96</v>
      </c>
      <c r="Z162" t="s">
        <v>78</v>
      </c>
      <c r="AA162" t="s">
        <v>78</v>
      </c>
      <c r="AB162" t="s">
        <v>79</v>
      </c>
      <c r="AC162" t="s">
        <v>78</v>
      </c>
      <c r="AD162" t="s">
        <v>79</v>
      </c>
      <c r="AE162" t="s">
        <v>78</v>
      </c>
      <c r="AF162" t="s">
        <v>81</v>
      </c>
      <c r="AG162" t="s">
        <v>78</v>
      </c>
      <c r="AH162" t="s">
        <v>78</v>
      </c>
      <c r="AI162" t="s">
        <v>78</v>
      </c>
      <c r="AJ162">
        <v>5</v>
      </c>
      <c r="AK162">
        <v>5</v>
      </c>
      <c r="AL162">
        <v>5</v>
      </c>
      <c r="AM162" t="s">
        <v>82</v>
      </c>
    </row>
    <row r="163" spans="1:39" x14ac:dyDescent="0.35">
      <c r="A163">
        <v>39</v>
      </c>
      <c r="B163" t="str" cm="1">
        <f t="array" ref="B163">_xlfn.IFS(A163&lt;=25,"18-25",A163&lt;=33,"26-33",A163&lt;=41,"34-41",A163&lt;=49,"42-49",A163&gt;49,"50 or above")</f>
        <v>34-41</v>
      </c>
      <c r="C163" t="s">
        <v>89</v>
      </c>
      <c r="D163" t="s">
        <v>63</v>
      </c>
      <c r="E163" t="s">
        <v>86</v>
      </c>
      <c r="F163" t="s">
        <v>87</v>
      </c>
      <c r="G163" t="s">
        <v>66</v>
      </c>
      <c r="H163" t="s">
        <v>66</v>
      </c>
      <c r="I163">
        <v>1</v>
      </c>
      <c r="J163" t="s">
        <v>67</v>
      </c>
      <c r="K163" t="s">
        <v>68</v>
      </c>
      <c r="L163" t="s">
        <v>69</v>
      </c>
      <c r="P163" t="s">
        <v>93</v>
      </c>
      <c r="Q163" t="s">
        <v>103</v>
      </c>
      <c r="R163" t="s">
        <v>92</v>
      </c>
      <c r="S163" t="s">
        <v>107</v>
      </c>
      <c r="T163" t="s">
        <v>112</v>
      </c>
      <c r="U163" t="s">
        <v>74</v>
      </c>
      <c r="W163" t="s">
        <v>76</v>
      </c>
      <c r="X163" t="s">
        <v>77</v>
      </c>
      <c r="Z163" t="s">
        <v>80</v>
      </c>
      <c r="AA163" t="s">
        <v>80</v>
      </c>
      <c r="AB163" t="s">
        <v>78</v>
      </c>
      <c r="AC163" t="s">
        <v>81</v>
      </c>
      <c r="AD163" t="s">
        <v>78</v>
      </c>
      <c r="AE163" t="s">
        <v>80</v>
      </c>
      <c r="AF163" t="s">
        <v>81</v>
      </c>
      <c r="AG163" t="s">
        <v>78</v>
      </c>
      <c r="AH163" t="s">
        <v>80</v>
      </c>
      <c r="AI163" t="s">
        <v>80</v>
      </c>
      <c r="AJ163">
        <v>3</v>
      </c>
      <c r="AK163">
        <v>4</v>
      </c>
      <c r="AL163">
        <v>3</v>
      </c>
      <c r="AM163" t="s">
        <v>128</v>
      </c>
    </row>
    <row r="164" spans="1:39" x14ac:dyDescent="0.35">
      <c r="A164">
        <v>40</v>
      </c>
      <c r="B164" t="str" cm="1">
        <f t="array" ref="B164">_xlfn.IFS(A164&lt;=25,"18-25",A164&lt;=33,"26-33",A164&lt;=41,"34-41",A164&lt;=49,"42-49",A164&gt;49,"50 or above")</f>
        <v>34-41</v>
      </c>
      <c r="C164" t="s">
        <v>62</v>
      </c>
      <c r="D164" t="s">
        <v>116</v>
      </c>
      <c r="E164" t="s">
        <v>109</v>
      </c>
      <c r="F164" t="s">
        <v>102</v>
      </c>
      <c r="G164" t="s">
        <v>66</v>
      </c>
      <c r="H164" t="s">
        <v>66</v>
      </c>
      <c r="I164">
        <v>1</v>
      </c>
      <c r="J164" t="s">
        <v>67</v>
      </c>
      <c r="K164" t="s">
        <v>68</v>
      </c>
      <c r="L164" t="s">
        <v>69</v>
      </c>
      <c r="P164" t="s">
        <v>91</v>
      </c>
      <c r="Q164" t="s">
        <v>103</v>
      </c>
      <c r="R164" t="s">
        <v>92</v>
      </c>
      <c r="S164" t="s">
        <v>95</v>
      </c>
      <c r="T164" t="s">
        <v>112</v>
      </c>
      <c r="U164" t="s">
        <v>74</v>
      </c>
      <c r="V164" t="s">
        <v>75</v>
      </c>
      <c r="Y164" t="s">
        <v>108</v>
      </c>
      <c r="Z164" t="s">
        <v>81</v>
      </c>
      <c r="AA164" t="s">
        <v>81</v>
      </c>
      <c r="AB164" t="s">
        <v>78</v>
      </c>
      <c r="AC164" t="s">
        <v>81</v>
      </c>
      <c r="AD164" t="s">
        <v>78</v>
      </c>
      <c r="AE164" t="s">
        <v>80</v>
      </c>
      <c r="AF164" t="s">
        <v>81</v>
      </c>
      <c r="AG164" t="s">
        <v>80</v>
      </c>
      <c r="AH164" t="s">
        <v>81</v>
      </c>
      <c r="AI164" t="s">
        <v>78</v>
      </c>
      <c r="AJ164">
        <v>4</v>
      </c>
      <c r="AK164">
        <v>5</v>
      </c>
      <c r="AL164">
        <v>5</v>
      </c>
      <c r="AM164" t="s">
        <v>148</v>
      </c>
    </row>
    <row r="165" spans="1:39" x14ac:dyDescent="0.35">
      <c r="A165">
        <v>59</v>
      </c>
      <c r="B165" t="str" cm="1">
        <f t="array" ref="B165">_xlfn.IFS(A165&lt;=25,"18-25",A165&lt;=33,"26-33",A165&lt;=41,"34-41",A165&lt;=49,"42-49",A165&gt;49,"50 or above")</f>
        <v>50 or above</v>
      </c>
      <c r="C165" t="s">
        <v>89</v>
      </c>
      <c r="D165" t="s">
        <v>105</v>
      </c>
      <c r="E165" t="s">
        <v>136</v>
      </c>
      <c r="F165" t="s">
        <v>90</v>
      </c>
      <c r="G165" t="s">
        <v>66</v>
      </c>
      <c r="H165" t="s">
        <v>66</v>
      </c>
      <c r="I165">
        <v>1</v>
      </c>
      <c r="J165" t="s">
        <v>67</v>
      </c>
      <c r="L165" t="s">
        <v>69</v>
      </c>
      <c r="P165" t="s">
        <v>91</v>
      </c>
      <c r="Q165" t="s">
        <v>98</v>
      </c>
      <c r="R165" t="s">
        <v>94</v>
      </c>
      <c r="S165" t="s">
        <v>113</v>
      </c>
      <c r="T165" t="s">
        <v>99</v>
      </c>
      <c r="U165" t="s">
        <v>74</v>
      </c>
      <c r="W165" t="s">
        <v>76</v>
      </c>
      <c r="Y165" t="s">
        <v>108</v>
      </c>
      <c r="Z165" t="s">
        <v>81</v>
      </c>
      <c r="AA165" t="s">
        <v>81</v>
      </c>
      <c r="AB165" t="s">
        <v>81</v>
      </c>
      <c r="AC165" t="s">
        <v>81</v>
      </c>
      <c r="AD165" t="s">
        <v>81</v>
      </c>
      <c r="AE165" t="s">
        <v>81</v>
      </c>
      <c r="AF165" t="s">
        <v>81</v>
      </c>
      <c r="AG165" t="s">
        <v>81</v>
      </c>
      <c r="AH165" t="s">
        <v>81</v>
      </c>
      <c r="AI165" t="s">
        <v>80</v>
      </c>
      <c r="AJ165">
        <v>3</v>
      </c>
      <c r="AK165">
        <v>2</v>
      </c>
      <c r="AL165">
        <v>2</v>
      </c>
      <c r="AM165" t="s">
        <v>115</v>
      </c>
    </row>
    <row r="166" spans="1:39" x14ac:dyDescent="0.35">
      <c r="A166">
        <v>46</v>
      </c>
      <c r="B166" t="str" cm="1">
        <f t="array" ref="B166">_xlfn.IFS(A166&lt;=25,"18-25",A166&lt;=33,"26-33",A166&lt;=41,"34-41",A166&lt;=49,"42-49",A166&gt;49,"50 or above")</f>
        <v>42-49</v>
      </c>
      <c r="C166" t="s">
        <v>62</v>
      </c>
      <c r="D166" t="s">
        <v>119</v>
      </c>
      <c r="E166" t="s">
        <v>109</v>
      </c>
      <c r="F166" t="s">
        <v>90</v>
      </c>
      <c r="G166" t="s">
        <v>66</v>
      </c>
      <c r="H166" t="s">
        <v>66</v>
      </c>
      <c r="I166">
        <v>1</v>
      </c>
      <c r="J166" t="s">
        <v>67</v>
      </c>
      <c r="P166" t="s">
        <v>67</v>
      </c>
      <c r="Q166" t="s">
        <v>103</v>
      </c>
      <c r="R166" t="s">
        <v>94</v>
      </c>
      <c r="S166" t="s">
        <v>95</v>
      </c>
      <c r="T166" t="s">
        <v>99</v>
      </c>
      <c r="Y166" t="s">
        <v>135</v>
      </c>
      <c r="Z166" t="s">
        <v>81</v>
      </c>
      <c r="AA166" t="s">
        <v>81</v>
      </c>
      <c r="AB166" t="s">
        <v>78</v>
      </c>
      <c r="AC166" t="s">
        <v>81</v>
      </c>
      <c r="AD166" t="s">
        <v>81</v>
      </c>
      <c r="AE166" t="s">
        <v>79</v>
      </c>
      <c r="AF166" t="s">
        <v>81</v>
      </c>
      <c r="AG166" t="s">
        <v>81</v>
      </c>
      <c r="AH166" t="s">
        <v>79</v>
      </c>
      <c r="AI166" t="s">
        <v>79</v>
      </c>
      <c r="AJ166">
        <v>2</v>
      </c>
      <c r="AK166">
        <v>2</v>
      </c>
      <c r="AL166">
        <v>1</v>
      </c>
      <c r="AM166" t="s">
        <v>115</v>
      </c>
    </row>
    <row r="167" spans="1:39" x14ac:dyDescent="0.35">
      <c r="A167">
        <v>36</v>
      </c>
      <c r="B167" t="str" cm="1">
        <f t="array" ref="B167">_xlfn.IFS(A167&lt;=25,"18-25",A167&lt;=33,"26-33",A167&lt;=41,"34-41",A167&lt;=49,"42-49",A167&gt;49,"50 or above")</f>
        <v>34-41</v>
      </c>
      <c r="C167" t="s">
        <v>89</v>
      </c>
      <c r="D167" t="s">
        <v>120</v>
      </c>
      <c r="E167" t="s">
        <v>121</v>
      </c>
      <c r="F167" t="s">
        <v>87</v>
      </c>
      <c r="G167" t="s">
        <v>66</v>
      </c>
      <c r="H167" t="s">
        <v>66</v>
      </c>
      <c r="I167">
        <v>1</v>
      </c>
      <c r="L167" t="s">
        <v>91</v>
      </c>
      <c r="P167" t="s">
        <v>91</v>
      </c>
      <c r="Q167" t="s">
        <v>98</v>
      </c>
      <c r="R167" t="s">
        <v>94</v>
      </c>
      <c r="S167" t="s">
        <v>113</v>
      </c>
      <c r="T167" t="s">
        <v>99</v>
      </c>
      <c r="U167" t="s">
        <v>74</v>
      </c>
      <c r="Z167" t="s">
        <v>81</v>
      </c>
      <c r="AA167" t="s">
        <v>81</v>
      </c>
      <c r="AB167" t="s">
        <v>78</v>
      </c>
      <c r="AC167" t="s">
        <v>81</v>
      </c>
      <c r="AD167" t="s">
        <v>78</v>
      </c>
      <c r="AE167" t="s">
        <v>81</v>
      </c>
      <c r="AF167" t="s">
        <v>81</v>
      </c>
      <c r="AG167" t="s">
        <v>78</v>
      </c>
      <c r="AH167" t="s">
        <v>101</v>
      </c>
      <c r="AI167" t="s">
        <v>81</v>
      </c>
      <c r="AJ167">
        <v>2</v>
      </c>
      <c r="AK167">
        <v>3</v>
      </c>
      <c r="AL167">
        <v>3</v>
      </c>
      <c r="AM167" t="s">
        <v>97</v>
      </c>
    </row>
    <row r="168" spans="1:39" x14ac:dyDescent="0.35">
      <c r="A168">
        <v>27</v>
      </c>
      <c r="B168" t="str" cm="1">
        <f t="array" ref="B168">_xlfn.IFS(A168&lt;=25,"18-25",A168&lt;=33,"26-33",A168&lt;=41,"34-41",A168&lt;=49,"42-49",A168&gt;49,"50 or above")</f>
        <v>26-33</v>
      </c>
      <c r="C168" t="s">
        <v>89</v>
      </c>
      <c r="D168" t="s">
        <v>116</v>
      </c>
      <c r="E168" t="s">
        <v>109</v>
      </c>
      <c r="F168" t="s">
        <v>65</v>
      </c>
      <c r="G168" t="s">
        <v>66</v>
      </c>
      <c r="H168" t="s">
        <v>66</v>
      </c>
      <c r="I168">
        <v>1</v>
      </c>
      <c r="J168" t="s">
        <v>67</v>
      </c>
      <c r="K168" t="s">
        <v>68</v>
      </c>
      <c r="L168" t="s">
        <v>69</v>
      </c>
      <c r="P168" t="s">
        <v>91</v>
      </c>
      <c r="Q168" t="s">
        <v>70</v>
      </c>
      <c r="R168" t="s">
        <v>110</v>
      </c>
      <c r="S168" t="s">
        <v>95</v>
      </c>
      <c r="T168" t="s">
        <v>73</v>
      </c>
      <c r="U168" t="s">
        <v>74</v>
      </c>
      <c r="V168" t="s">
        <v>75</v>
      </c>
      <c r="W168" t="s">
        <v>76</v>
      </c>
      <c r="X168" t="s">
        <v>77</v>
      </c>
      <c r="Y168" t="s">
        <v>108</v>
      </c>
      <c r="Z168" t="s">
        <v>78</v>
      </c>
      <c r="AA168" t="s">
        <v>78</v>
      </c>
      <c r="AB168" t="s">
        <v>101</v>
      </c>
      <c r="AC168" t="s">
        <v>78</v>
      </c>
      <c r="AD168" t="s">
        <v>101</v>
      </c>
      <c r="AE168" t="s">
        <v>81</v>
      </c>
      <c r="AF168" t="s">
        <v>81</v>
      </c>
      <c r="AG168" t="s">
        <v>78</v>
      </c>
      <c r="AH168" t="s">
        <v>78</v>
      </c>
      <c r="AI168" t="s">
        <v>78</v>
      </c>
      <c r="AJ168">
        <v>5</v>
      </c>
      <c r="AK168">
        <v>5</v>
      </c>
      <c r="AL168">
        <v>5</v>
      </c>
      <c r="AM168" t="s">
        <v>133</v>
      </c>
    </row>
    <row r="169" spans="1:39" x14ac:dyDescent="0.35">
      <c r="A169">
        <v>32</v>
      </c>
      <c r="B169" t="str" cm="1">
        <f t="array" ref="B169">_xlfn.IFS(A169&lt;=25,"18-25",A169&lt;=33,"26-33",A169&lt;=41,"34-41",A169&lt;=49,"42-49",A169&gt;49,"50 or above")</f>
        <v>26-33</v>
      </c>
      <c r="C169" t="s">
        <v>62</v>
      </c>
      <c r="D169" t="s">
        <v>63</v>
      </c>
      <c r="E169" t="s">
        <v>86</v>
      </c>
      <c r="F169" t="s">
        <v>90</v>
      </c>
      <c r="G169" t="s">
        <v>66</v>
      </c>
      <c r="H169" t="s">
        <v>66</v>
      </c>
      <c r="I169">
        <v>1</v>
      </c>
      <c r="J169" t="s">
        <v>67</v>
      </c>
      <c r="K169" t="s">
        <v>68</v>
      </c>
      <c r="L169" t="s">
        <v>69</v>
      </c>
      <c r="P169" t="s">
        <v>67</v>
      </c>
      <c r="Q169" t="s">
        <v>70</v>
      </c>
      <c r="R169" t="s">
        <v>92</v>
      </c>
      <c r="S169" t="s">
        <v>95</v>
      </c>
      <c r="T169" t="s">
        <v>99</v>
      </c>
      <c r="V169" t="s">
        <v>96</v>
      </c>
      <c r="W169" t="s">
        <v>76</v>
      </c>
      <c r="Y169" t="s">
        <v>108</v>
      </c>
      <c r="Z169" t="s">
        <v>81</v>
      </c>
      <c r="AA169" t="s">
        <v>81</v>
      </c>
      <c r="AB169" t="s">
        <v>80</v>
      </c>
      <c r="AC169" t="s">
        <v>80</v>
      </c>
      <c r="AD169" t="s">
        <v>80</v>
      </c>
      <c r="AE169" t="s">
        <v>80</v>
      </c>
      <c r="AF169" t="s">
        <v>80</v>
      </c>
      <c r="AG169" t="s">
        <v>80</v>
      </c>
      <c r="AH169" t="s">
        <v>80</v>
      </c>
      <c r="AI169" t="s">
        <v>80</v>
      </c>
      <c r="AJ169">
        <v>4</v>
      </c>
      <c r="AK169">
        <v>4</v>
      </c>
      <c r="AL169">
        <v>4</v>
      </c>
      <c r="AM169" t="s">
        <v>133</v>
      </c>
    </row>
    <row r="170" spans="1:39" x14ac:dyDescent="0.35">
      <c r="A170">
        <v>46</v>
      </c>
      <c r="B170" t="str" cm="1">
        <f t="array" ref="B170">_xlfn.IFS(A170&lt;=25,"18-25",A170&lt;=33,"26-33",A170&lt;=41,"34-41",A170&lt;=49,"42-49",A170&gt;49,"50 or above")</f>
        <v>42-49</v>
      </c>
      <c r="C170" t="s">
        <v>62</v>
      </c>
      <c r="D170" t="s">
        <v>105</v>
      </c>
      <c r="E170" t="s">
        <v>109</v>
      </c>
      <c r="F170" t="s">
        <v>87</v>
      </c>
      <c r="G170" t="s">
        <v>66</v>
      </c>
      <c r="H170" t="s">
        <v>66</v>
      </c>
      <c r="I170">
        <v>1</v>
      </c>
      <c r="J170" t="s">
        <v>67</v>
      </c>
      <c r="L170" t="s">
        <v>69</v>
      </c>
      <c r="P170" t="s">
        <v>91</v>
      </c>
      <c r="Q170" t="s">
        <v>103</v>
      </c>
      <c r="R170" t="s">
        <v>94</v>
      </c>
      <c r="S170" t="s">
        <v>72</v>
      </c>
      <c r="T170" t="s">
        <v>112</v>
      </c>
      <c r="Y170" t="s">
        <v>135</v>
      </c>
      <c r="Z170" t="s">
        <v>79</v>
      </c>
      <c r="AA170" t="s">
        <v>79</v>
      </c>
      <c r="AB170" t="s">
        <v>79</v>
      </c>
      <c r="AC170" t="s">
        <v>79</v>
      </c>
      <c r="AD170" t="s">
        <v>79</v>
      </c>
      <c r="AE170" t="s">
        <v>81</v>
      </c>
      <c r="AF170" t="s">
        <v>78</v>
      </c>
      <c r="AG170" t="s">
        <v>81</v>
      </c>
      <c r="AH170" t="s">
        <v>81</v>
      </c>
      <c r="AI170" t="s">
        <v>81</v>
      </c>
      <c r="AJ170">
        <v>3</v>
      </c>
      <c r="AK170">
        <v>3</v>
      </c>
      <c r="AL170">
        <v>3</v>
      </c>
      <c r="AM170" t="s">
        <v>115</v>
      </c>
    </row>
    <row r="171" spans="1:39" x14ac:dyDescent="0.35">
      <c r="A171">
        <v>37</v>
      </c>
      <c r="B171" t="str" cm="1">
        <f t="array" ref="B171">_xlfn.IFS(A171&lt;=25,"18-25",A171&lt;=33,"26-33",A171&lt;=41,"34-41",A171&lt;=49,"42-49",A171&gt;49,"50 or above")</f>
        <v>34-41</v>
      </c>
      <c r="C171" t="s">
        <v>89</v>
      </c>
      <c r="D171" t="s">
        <v>116</v>
      </c>
      <c r="E171" t="s">
        <v>121</v>
      </c>
      <c r="F171" t="s">
        <v>127</v>
      </c>
      <c r="G171" t="s">
        <v>66</v>
      </c>
      <c r="H171" t="s">
        <v>66</v>
      </c>
      <c r="I171">
        <v>1</v>
      </c>
      <c r="J171" t="s">
        <v>67</v>
      </c>
      <c r="K171" t="s">
        <v>68</v>
      </c>
      <c r="L171" t="s">
        <v>69</v>
      </c>
      <c r="P171" t="s">
        <v>91</v>
      </c>
      <c r="Q171" t="s">
        <v>98</v>
      </c>
      <c r="R171" t="s">
        <v>94</v>
      </c>
      <c r="S171" t="s">
        <v>95</v>
      </c>
      <c r="T171" t="s">
        <v>99</v>
      </c>
      <c r="W171" t="s">
        <v>134</v>
      </c>
      <c r="Z171" t="s">
        <v>81</v>
      </c>
      <c r="AA171" t="s">
        <v>78</v>
      </c>
      <c r="AB171" t="s">
        <v>78</v>
      </c>
      <c r="AC171" t="s">
        <v>78</v>
      </c>
      <c r="AD171" t="s">
        <v>78</v>
      </c>
      <c r="AE171" t="s">
        <v>80</v>
      </c>
      <c r="AF171" t="s">
        <v>81</v>
      </c>
      <c r="AG171" t="s">
        <v>80</v>
      </c>
      <c r="AH171" t="s">
        <v>81</v>
      </c>
      <c r="AI171" t="s">
        <v>81</v>
      </c>
      <c r="AJ171">
        <v>4</v>
      </c>
      <c r="AK171">
        <v>4</v>
      </c>
      <c r="AL171">
        <v>4</v>
      </c>
      <c r="AM171" t="s">
        <v>128</v>
      </c>
    </row>
    <row r="172" spans="1:39" x14ac:dyDescent="0.35">
      <c r="A172">
        <v>32</v>
      </c>
      <c r="B172" t="str" cm="1">
        <f t="array" ref="B172">_xlfn.IFS(A172&lt;=25,"18-25",A172&lt;=33,"26-33",A172&lt;=41,"34-41",A172&lt;=49,"42-49",A172&gt;49,"50 or above")</f>
        <v>26-33</v>
      </c>
      <c r="C172" t="s">
        <v>62</v>
      </c>
      <c r="D172" t="s">
        <v>119</v>
      </c>
      <c r="E172" t="s">
        <v>86</v>
      </c>
      <c r="F172" t="s">
        <v>90</v>
      </c>
      <c r="G172" t="s">
        <v>66</v>
      </c>
      <c r="H172" t="s">
        <v>66</v>
      </c>
      <c r="I172">
        <v>1</v>
      </c>
      <c r="J172" t="s">
        <v>67</v>
      </c>
      <c r="K172" t="s">
        <v>68</v>
      </c>
      <c r="L172" t="s">
        <v>69</v>
      </c>
      <c r="P172" t="s">
        <v>91</v>
      </c>
      <c r="Q172" t="s">
        <v>70</v>
      </c>
      <c r="R172" t="s">
        <v>71</v>
      </c>
      <c r="S172" t="s">
        <v>95</v>
      </c>
      <c r="T172" t="s">
        <v>140</v>
      </c>
      <c r="U172" t="s">
        <v>74</v>
      </c>
      <c r="W172" t="s">
        <v>76</v>
      </c>
      <c r="Z172" t="s">
        <v>81</v>
      </c>
      <c r="AA172" t="s">
        <v>81</v>
      </c>
      <c r="AB172" t="s">
        <v>78</v>
      </c>
      <c r="AC172" t="s">
        <v>80</v>
      </c>
      <c r="AD172" t="s">
        <v>78</v>
      </c>
      <c r="AE172" t="s">
        <v>81</v>
      </c>
      <c r="AF172" t="s">
        <v>81</v>
      </c>
      <c r="AG172" t="s">
        <v>80</v>
      </c>
      <c r="AH172" t="s">
        <v>79</v>
      </c>
      <c r="AI172" t="s">
        <v>80</v>
      </c>
      <c r="AJ172">
        <v>3</v>
      </c>
      <c r="AK172">
        <v>3</v>
      </c>
      <c r="AL172">
        <v>3</v>
      </c>
      <c r="AM172" t="s">
        <v>148</v>
      </c>
    </row>
    <row r="173" spans="1:39" x14ac:dyDescent="0.35">
      <c r="A173">
        <v>37</v>
      </c>
      <c r="B173" t="str" cm="1">
        <f t="array" ref="B173">_xlfn.IFS(A173&lt;=25,"18-25",A173&lt;=33,"26-33",A173&lt;=41,"34-41",A173&lt;=49,"42-49",A173&gt;49,"50 or above")</f>
        <v>34-41</v>
      </c>
      <c r="C173" t="s">
        <v>89</v>
      </c>
      <c r="D173" t="s">
        <v>63</v>
      </c>
      <c r="E173" t="s">
        <v>86</v>
      </c>
      <c r="F173" t="s">
        <v>87</v>
      </c>
      <c r="G173" t="s">
        <v>66</v>
      </c>
      <c r="H173" t="s">
        <v>66</v>
      </c>
      <c r="I173">
        <v>1</v>
      </c>
      <c r="J173" t="s">
        <v>67</v>
      </c>
      <c r="K173" t="s">
        <v>68</v>
      </c>
      <c r="L173" t="s">
        <v>69</v>
      </c>
      <c r="P173" t="s">
        <v>91</v>
      </c>
      <c r="Q173" t="s">
        <v>98</v>
      </c>
      <c r="R173" t="s">
        <v>71</v>
      </c>
      <c r="S173" t="s">
        <v>72</v>
      </c>
      <c r="T173" t="s">
        <v>73</v>
      </c>
      <c r="U173" t="s">
        <v>74</v>
      </c>
      <c r="V173" t="s">
        <v>75</v>
      </c>
      <c r="W173" t="s">
        <v>76</v>
      </c>
      <c r="X173" t="s">
        <v>77</v>
      </c>
      <c r="Y173" t="s">
        <v>108</v>
      </c>
      <c r="Z173" t="s">
        <v>78</v>
      </c>
      <c r="AA173" t="s">
        <v>80</v>
      </c>
      <c r="AB173" t="s">
        <v>80</v>
      </c>
      <c r="AC173" t="s">
        <v>78</v>
      </c>
      <c r="AD173" t="s">
        <v>78</v>
      </c>
      <c r="AE173" t="s">
        <v>80</v>
      </c>
      <c r="AF173" t="s">
        <v>80</v>
      </c>
      <c r="AG173" t="s">
        <v>81</v>
      </c>
      <c r="AH173" t="s">
        <v>78</v>
      </c>
      <c r="AI173" t="s">
        <v>81</v>
      </c>
      <c r="AJ173">
        <v>4</v>
      </c>
      <c r="AK173">
        <v>3</v>
      </c>
      <c r="AL173">
        <v>4</v>
      </c>
      <c r="AM173" t="s">
        <v>148</v>
      </c>
    </row>
    <row r="174" spans="1:39" x14ac:dyDescent="0.35">
      <c r="A174">
        <v>33</v>
      </c>
      <c r="B174" t="str" cm="1">
        <f t="array" ref="B174">_xlfn.IFS(A174&lt;=25,"18-25",A174&lt;=33,"26-33",A174&lt;=41,"34-41",A174&lt;=49,"42-49",A174&gt;49,"50 or above")</f>
        <v>26-33</v>
      </c>
      <c r="C174" t="s">
        <v>62</v>
      </c>
      <c r="D174" t="s">
        <v>105</v>
      </c>
      <c r="E174" t="s">
        <v>109</v>
      </c>
      <c r="F174" t="s">
        <v>87</v>
      </c>
      <c r="G174" t="s">
        <v>66</v>
      </c>
      <c r="H174" t="s">
        <v>66</v>
      </c>
      <c r="I174">
        <v>1</v>
      </c>
      <c r="J174" t="s">
        <v>67</v>
      </c>
      <c r="K174" t="s">
        <v>68</v>
      </c>
      <c r="L174" t="s">
        <v>69</v>
      </c>
      <c r="P174" t="s">
        <v>93</v>
      </c>
      <c r="Q174" t="s">
        <v>117</v>
      </c>
      <c r="R174" t="s">
        <v>71</v>
      </c>
      <c r="S174" t="s">
        <v>72</v>
      </c>
      <c r="T174" t="s">
        <v>140</v>
      </c>
      <c r="X174" t="s">
        <v>131</v>
      </c>
      <c r="Z174" t="s">
        <v>80</v>
      </c>
      <c r="AA174" t="s">
        <v>81</v>
      </c>
      <c r="AB174" t="s">
        <v>80</v>
      </c>
      <c r="AC174" t="s">
        <v>81</v>
      </c>
      <c r="AD174" t="s">
        <v>78</v>
      </c>
      <c r="AE174" t="s">
        <v>81</v>
      </c>
      <c r="AF174" t="s">
        <v>80</v>
      </c>
      <c r="AG174" t="s">
        <v>80</v>
      </c>
      <c r="AH174" t="s">
        <v>78</v>
      </c>
      <c r="AI174" t="s">
        <v>81</v>
      </c>
      <c r="AJ174">
        <v>3</v>
      </c>
      <c r="AK174">
        <v>4</v>
      </c>
      <c r="AL174">
        <v>3</v>
      </c>
      <c r="AM174" t="s">
        <v>148</v>
      </c>
    </row>
    <row r="175" spans="1:39" x14ac:dyDescent="0.35">
      <c r="A175">
        <v>44</v>
      </c>
      <c r="B175" t="str" cm="1">
        <f t="array" ref="B175">_xlfn.IFS(A175&lt;=25,"18-25",A175&lt;=33,"26-33",A175&lt;=41,"34-41",A175&lt;=49,"42-49",A175&gt;49,"50 or above")</f>
        <v>42-49</v>
      </c>
      <c r="C175" t="s">
        <v>89</v>
      </c>
      <c r="D175" t="s">
        <v>105</v>
      </c>
      <c r="E175" t="s">
        <v>86</v>
      </c>
      <c r="F175" t="s">
        <v>87</v>
      </c>
      <c r="G175" t="s">
        <v>66</v>
      </c>
      <c r="H175" t="s">
        <v>66</v>
      </c>
      <c r="I175">
        <v>1</v>
      </c>
      <c r="J175" t="s">
        <v>67</v>
      </c>
      <c r="L175" t="s">
        <v>69</v>
      </c>
      <c r="P175" t="s">
        <v>67</v>
      </c>
      <c r="Q175" t="s">
        <v>98</v>
      </c>
      <c r="R175" t="s">
        <v>92</v>
      </c>
      <c r="S175" t="s">
        <v>113</v>
      </c>
      <c r="T175" t="s">
        <v>140</v>
      </c>
      <c r="U175" t="s">
        <v>74</v>
      </c>
      <c r="V175" t="s">
        <v>75</v>
      </c>
      <c r="X175" t="s">
        <v>77</v>
      </c>
      <c r="Z175" t="s">
        <v>81</v>
      </c>
      <c r="AA175" t="s">
        <v>80</v>
      </c>
      <c r="AB175" t="s">
        <v>80</v>
      </c>
      <c r="AC175" t="s">
        <v>81</v>
      </c>
      <c r="AD175" t="s">
        <v>80</v>
      </c>
      <c r="AE175" t="s">
        <v>80</v>
      </c>
      <c r="AF175" t="s">
        <v>81</v>
      </c>
      <c r="AG175" t="s">
        <v>80</v>
      </c>
      <c r="AH175" t="s">
        <v>81</v>
      </c>
      <c r="AI175" t="s">
        <v>80</v>
      </c>
      <c r="AJ175">
        <v>3</v>
      </c>
      <c r="AK175">
        <v>3</v>
      </c>
      <c r="AL175">
        <v>3</v>
      </c>
      <c r="AM175" t="s">
        <v>133</v>
      </c>
    </row>
    <row r="176" spans="1:39" x14ac:dyDescent="0.35">
      <c r="A176">
        <v>32</v>
      </c>
      <c r="B176" t="str" cm="1">
        <f t="array" ref="B176">_xlfn.IFS(A176&lt;=25,"18-25",A176&lt;=33,"26-33",A176&lt;=41,"34-41",A176&lt;=49,"42-49",A176&gt;49,"50 or above")</f>
        <v>26-33</v>
      </c>
      <c r="C176" t="s">
        <v>62</v>
      </c>
      <c r="D176" t="s">
        <v>105</v>
      </c>
      <c r="E176" t="s">
        <v>109</v>
      </c>
      <c r="F176" t="s">
        <v>87</v>
      </c>
      <c r="G176" t="s">
        <v>66</v>
      </c>
      <c r="H176" t="s">
        <v>66</v>
      </c>
      <c r="I176">
        <v>1</v>
      </c>
      <c r="J176" t="s">
        <v>67</v>
      </c>
      <c r="L176" t="s">
        <v>69</v>
      </c>
      <c r="P176" t="s">
        <v>67</v>
      </c>
      <c r="Q176" t="s">
        <v>98</v>
      </c>
      <c r="R176" t="s">
        <v>92</v>
      </c>
      <c r="S176" t="s">
        <v>113</v>
      </c>
      <c r="T176" t="s">
        <v>73</v>
      </c>
      <c r="W176" t="s">
        <v>134</v>
      </c>
      <c r="Z176" t="s">
        <v>80</v>
      </c>
      <c r="AA176" t="s">
        <v>80</v>
      </c>
      <c r="AB176" t="s">
        <v>78</v>
      </c>
      <c r="AC176" t="s">
        <v>81</v>
      </c>
      <c r="AD176" t="s">
        <v>78</v>
      </c>
      <c r="AE176" t="s">
        <v>81</v>
      </c>
      <c r="AF176" t="s">
        <v>78</v>
      </c>
      <c r="AG176" t="s">
        <v>80</v>
      </c>
      <c r="AH176" t="s">
        <v>80</v>
      </c>
      <c r="AI176" t="s">
        <v>78</v>
      </c>
      <c r="AJ176">
        <v>3</v>
      </c>
      <c r="AK176">
        <v>4</v>
      </c>
      <c r="AL176">
        <v>4</v>
      </c>
      <c r="AM176" t="s">
        <v>97</v>
      </c>
    </row>
    <row r="177" spans="1:39" x14ac:dyDescent="0.35">
      <c r="A177">
        <v>26</v>
      </c>
      <c r="B177" t="str" cm="1">
        <f t="array" ref="B177">_xlfn.IFS(A177&lt;=25,"18-25",A177&lt;=33,"26-33",A177&lt;=41,"34-41",A177&lt;=49,"42-49",A177&gt;49,"50 or above")</f>
        <v>26-33</v>
      </c>
      <c r="C177" t="s">
        <v>89</v>
      </c>
      <c r="D177" t="s">
        <v>63</v>
      </c>
      <c r="E177" t="s">
        <v>121</v>
      </c>
      <c r="F177" t="s">
        <v>90</v>
      </c>
      <c r="G177" t="s">
        <v>66</v>
      </c>
      <c r="H177" t="s">
        <v>66</v>
      </c>
      <c r="I177">
        <v>1</v>
      </c>
      <c r="J177" t="s">
        <v>67</v>
      </c>
      <c r="L177" t="s">
        <v>69</v>
      </c>
      <c r="P177" t="s">
        <v>67</v>
      </c>
      <c r="Q177" t="s">
        <v>103</v>
      </c>
      <c r="R177" t="s">
        <v>71</v>
      </c>
      <c r="S177" t="s">
        <v>72</v>
      </c>
      <c r="T177" t="s">
        <v>112</v>
      </c>
      <c r="W177" t="s">
        <v>134</v>
      </c>
      <c r="X177" t="s">
        <v>77</v>
      </c>
      <c r="Z177" t="s">
        <v>80</v>
      </c>
      <c r="AA177" t="s">
        <v>81</v>
      </c>
      <c r="AB177" t="s">
        <v>78</v>
      </c>
      <c r="AC177" t="s">
        <v>80</v>
      </c>
      <c r="AD177" t="s">
        <v>78</v>
      </c>
      <c r="AE177" t="s">
        <v>81</v>
      </c>
      <c r="AF177" t="s">
        <v>80</v>
      </c>
      <c r="AG177" t="s">
        <v>81</v>
      </c>
      <c r="AH177" t="s">
        <v>78</v>
      </c>
      <c r="AI177" t="s">
        <v>80</v>
      </c>
      <c r="AJ177">
        <v>3</v>
      </c>
      <c r="AK177">
        <v>2</v>
      </c>
      <c r="AL177">
        <v>3</v>
      </c>
      <c r="AM177" t="s">
        <v>128</v>
      </c>
    </row>
    <row r="178" spans="1:39" x14ac:dyDescent="0.35">
      <c r="A178">
        <v>27</v>
      </c>
      <c r="B178" t="str" cm="1">
        <f t="array" ref="B178">_xlfn.IFS(A178&lt;=25,"18-25",A178&lt;=33,"26-33",A178&lt;=41,"34-41",A178&lt;=49,"42-49",A178&gt;49,"50 or above")</f>
        <v>26-33</v>
      </c>
      <c r="C178" t="s">
        <v>62</v>
      </c>
      <c r="D178" t="s">
        <v>116</v>
      </c>
      <c r="E178" t="s">
        <v>109</v>
      </c>
      <c r="F178" t="s">
        <v>65</v>
      </c>
      <c r="G178" t="s">
        <v>66</v>
      </c>
      <c r="H178" t="s">
        <v>66</v>
      </c>
      <c r="I178">
        <v>1</v>
      </c>
      <c r="J178" t="s">
        <v>67</v>
      </c>
      <c r="K178" t="s">
        <v>68</v>
      </c>
      <c r="L178" t="s">
        <v>69</v>
      </c>
      <c r="P178" t="s">
        <v>67</v>
      </c>
      <c r="Q178" t="s">
        <v>103</v>
      </c>
      <c r="R178" t="s">
        <v>110</v>
      </c>
      <c r="S178" t="s">
        <v>95</v>
      </c>
      <c r="T178" t="s">
        <v>140</v>
      </c>
      <c r="U178" t="s">
        <v>74</v>
      </c>
      <c r="V178" t="s">
        <v>75</v>
      </c>
      <c r="W178" t="s">
        <v>76</v>
      </c>
      <c r="X178" t="s">
        <v>77</v>
      </c>
      <c r="Y178" t="s">
        <v>108</v>
      </c>
      <c r="Z178" t="s">
        <v>78</v>
      </c>
      <c r="AA178" t="s">
        <v>78</v>
      </c>
      <c r="AB178" t="s">
        <v>80</v>
      </c>
      <c r="AC178" t="s">
        <v>78</v>
      </c>
      <c r="AD178" t="s">
        <v>78</v>
      </c>
      <c r="AE178" t="s">
        <v>80</v>
      </c>
      <c r="AF178" t="s">
        <v>78</v>
      </c>
      <c r="AG178" t="s">
        <v>80</v>
      </c>
      <c r="AH178" t="s">
        <v>78</v>
      </c>
      <c r="AI178" t="s">
        <v>80</v>
      </c>
      <c r="AJ178">
        <v>5</v>
      </c>
      <c r="AK178">
        <v>5</v>
      </c>
      <c r="AL178">
        <v>5</v>
      </c>
      <c r="AM178" t="s">
        <v>133</v>
      </c>
    </row>
    <row r="179" spans="1:39" x14ac:dyDescent="0.35">
      <c r="A179">
        <v>30</v>
      </c>
      <c r="B179" t="str" cm="1">
        <f t="array" ref="B179">_xlfn.IFS(A179&lt;=25,"18-25",A179&lt;=33,"26-33",A179&lt;=41,"34-41",A179&lt;=49,"42-49",A179&gt;49,"50 or above")</f>
        <v>26-33</v>
      </c>
      <c r="C179" t="s">
        <v>89</v>
      </c>
      <c r="D179" t="s">
        <v>119</v>
      </c>
      <c r="E179" t="s">
        <v>121</v>
      </c>
      <c r="F179" t="s">
        <v>87</v>
      </c>
      <c r="G179" t="s">
        <v>66</v>
      </c>
      <c r="H179" t="s">
        <v>66</v>
      </c>
      <c r="I179">
        <v>1</v>
      </c>
      <c r="J179" t="s">
        <v>67</v>
      </c>
      <c r="K179" t="s">
        <v>68</v>
      </c>
      <c r="L179" t="s">
        <v>69</v>
      </c>
      <c r="P179" t="s">
        <v>67</v>
      </c>
      <c r="Q179" t="s">
        <v>103</v>
      </c>
      <c r="R179" t="s">
        <v>92</v>
      </c>
      <c r="S179" t="s">
        <v>95</v>
      </c>
      <c r="T179" t="s">
        <v>112</v>
      </c>
      <c r="U179" t="s">
        <v>74</v>
      </c>
      <c r="V179" t="s">
        <v>75</v>
      </c>
      <c r="W179" t="s">
        <v>76</v>
      </c>
      <c r="X179" t="s">
        <v>77</v>
      </c>
      <c r="Y179" t="s">
        <v>108</v>
      </c>
      <c r="Z179" t="s">
        <v>81</v>
      </c>
      <c r="AA179" t="s">
        <v>81</v>
      </c>
      <c r="AB179" t="s">
        <v>79</v>
      </c>
      <c r="AC179" t="s">
        <v>80</v>
      </c>
      <c r="AD179" t="s">
        <v>79</v>
      </c>
      <c r="AE179" t="s">
        <v>81</v>
      </c>
      <c r="AF179" t="s">
        <v>80</v>
      </c>
      <c r="AG179" t="s">
        <v>81</v>
      </c>
      <c r="AH179" t="s">
        <v>80</v>
      </c>
      <c r="AI179" t="s">
        <v>80</v>
      </c>
      <c r="AJ179">
        <v>4</v>
      </c>
      <c r="AK179">
        <v>3</v>
      </c>
      <c r="AL179">
        <v>2</v>
      </c>
      <c r="AM179" t="s">
        <v>128</v>
      </c>
    </row>
    <row r="180" spans="1:39" x14ac:dyDescent="0.35">
      <c r="A180">
        <v>44</v>
      </c>
      <c r="B180" t="str" cm="1">
        <f t="array" ref="B180">_xlfn.IFS(A180&lt;=25,"18-25",A180&lt;=33,"26-33",A180&lt;=41,"34-41",A180&lt;=49,"42-49",A180&gt;49,"50 or above")</f>
        <v>42-49</v>
      </c>
      <c r="C180" t="s">
        <v>89</v>
      </c>
      <c r="D180" t="s">
        <v>63</v>
      </c>
      <c r="E180" t="s">
        <v>86</v>
      </c>
      <c r="F180" t="s">
        <v>90</v>
      </c>
      <c r="G180" t="s">
        <v>66</v>
      </c>
      <c r="H180" t="s">
        <v>66</v>
      </c>
      <c r="I180">
        <v>1</v>
      </c>
      <c r="J180" t="s">
        <v>67</v>
      </c>
      <c r="K180" t="s">
        <v>68</v>
      </c>
      <c r="L180" t="s">
        <v>69</v>
      </c>
      <c r="P180" t="s">
        <v>67</v>
      </c>
      <c r="Q180" t="s">
        <v>70</v>
      </c>
      <c r="R180" t="s">
        <v>92</v>
      </c>
      <c r="S180" t="s">
        <v>72</v>
      </c>
      <c r="T180" t="s">
        <v>99</v>
      </c>
      <c r="Y180" t="s">
        <v>135</v>
      </c>
      <c r="Z180" t="s">
        <v>81</v>
      </c>
      <c r="AA180" t="s">
        <v>81</v>
      </c>
      <c r="AB180" t="s">
        <v>80</v>
      </c>
      <c r="AC180" t="s">
        <v>80</v>
      </c>
      <c r="AD180" t="s">
        <v>80</v>
      </c>
      <c r="AE180" t="s">
        <v>80</v>
      </c>
      <c r="AF180" t="s">
        <v>81</v>
      </c>
      <c r="AG180" t="s">
        <v>79</v>
      </c>
      <c r="AH180" t="s">
        <v>81</v>
      </c>
      <c r="AI180" t="s">
        <v>80</v>
      </c>
      <c r="AJ180">
        <v>3</v>
      </c>
      <c r="AK180">
        <v>3</v>
      </c>
      <c r="AL180">
        <v>3</v>
      </c>
      <c r="AM180" t="s">
        <v>133</v>
      </c>
    </row>
    <row r="181" spans="1:39" x14ac:dyDescent="0.35">
      <c r="A181">
        <v>36</v>
      </c>
      <c r="B181" t="str" cm="1">
        <f t="array" ref="B181">_xlfn.IFS(A181&lt;=25,"18-25",A181&lt;=33,"26-33",A181&lt;=41,"34-41",A181&lt;=49,"42-49",A181&gt;49,"50 or above")</f>
        <v>34-41</v>
      </c>
      <c r="C181" t="s">
        <v>89</v>
      </c>
      <c r="D181" t="s">
        <v>116</v>
      </c>
      <c r="E181" t="s">
        <v>86</v>
      </c>
      <c r="F181" t="s">
        <v>65</v>
      </c>
      <c r="G181" t="s">
        <v>66</v>
      </c>
      <c r="H181" t="s">
        <v>66</v>
      </c>
      <c r="I181">
        <v>1</v>
      </c>
      <c r="J181" t="s">
        <v>67</v>
      </c>
      <c r="K181" t="s">
        <v>68</v>
      </c>
      <c r="L181" t="s">
        <v>69</v>
      </c>
      <c r="M181" t="s">
        <v>114</v>
      </c>
      <c r="P181" t="s">
        <v>93</v>
      </c>
      <c r="Q181" t="s">
        <v>98</v>
      </c>
      <c r="R181" t="s">
        <v>71</v>
      </c>
      <c r="S181" t="s">
        <v>95</v>
      </c>
      <c r="T181" t="s">
        <v>140</v>
      </c>
      <c r="U181" t="s">
        <v>74</v>
      </c>
      <c r="V181" t="s">
        <v>75</v>
      </c>
      <c r="W181" t="s">
        <v>76</v>
      </c>
      <c r="X181" t="s">
        <v>77</v>
      </c>
      <c r="Z181" t="s">
        <v>78</v>
      </c>
      <c r="AA181" t="s">
        <v>78</v>
      </c>
      <c r="AB181" t="s">
        <v>79</v>
      </c>
      <c r="AC181" t="s">
        <v>80</v>
      </c>
      <c r="AD181" t="s">
        <v>81</v>
      </c>
      <c r="AE181" t="s">
        <v>80</v>
      </c>
      <c r="AF181" t="s">
        <v>80</v>
      </c>
      <c r="AG181" t="s">
        <v>81</v>
      </c>
      <c r="AH181" t="s">
        <v>78</v>
      </c>
      <c r="AI181" t="s">
        <v>78</v>
      </c>
      <c r="AJ181">
        <v>4</v>
      </c>
      <c r="AK181">
        <v>5</v>
      </c>
      <c r="AL181">
        <v>5</v>
      </c>
      <c r="AM181" t="s">
        <v>82</v>
      </c>
    </row>
    <row r="182" spans="1:39" x14ac:dyDescent="0.35">
      <c r="A182">
        <v>35</v>
      </c>
      <c r="B182" t="str" cm="1">
        <f t="array" ref="B182">_xlfn.IFS(A182&lt;=25,"18-25",A182&lt;=33,"26-33",A182&lt;=41,"34-41",A182&lt;=49,"42-49",A182&gt;49,"50 or above")</f>
        <v>34-41</v>
      </c>
      <c r="C182" t="s">
        <v>62</v>
      </c>
      <c r="D182" t="s">
        <v>63</v>
      </c>
      <c r="E182" t="s">
        <v>109</v>
      </c>
      <c r="F182" t="s">
        <v>87</v>
      </c>
      <c r="G182" t="s">
        <v>66</v>
      </c>
      <c r="H182" t="s">
        <v>66</v>
      </c>
      <c r="I182">
        <v>1</v>
      </c>
      <c r="J182" t="s">
        <v>67</v>
      </c>
      <c r="K182" t="s">
        <v>68</v>
      </c>
      <c r="L182" t="s">
        <v>69</v>
      </c>
      <c r="P182" t="s">
        <v>67</v>
      </c>
      <c r="Q182" t="s">
        <v>98</v>
      </c>
      <c r="R182" t="s">
        <v>71</v>
      </c>
      <c r="S182" t="s">
        <v>130</v>
      </c>
      <c r="T182" t="s">
        <v>140</v>
      </c>
      <c r="W182" t="s">
        <v>134</v>
      </c>
      <c r="Z182" t="s">
        <v>81</v>
      </c>
      <c r="AA182" t="s">
        <v>80</v>
      </c>
      <c r="AB182" t="s">
        <v>80</v>
      </c>
      <c r="AC182" t="s">
        <v>78</v>
      </c>
      <c r="AD182" t="s">
        <v>80</v>
      </c>
      <c r="AE182" t="s">
        <v>80</v>
      </c>
      <c r="AF182" t="s">
        <v>78</v>
      </c>
      <c r="AG182" t="s">
        <v>80</v>
      </c>
      <c r="AH182" t="s">
        <v>80</v>
      </c>
      <c r="AI182" t="s">
        <v>78</v>
      </c>
      <c r="AJ182">
        <v>5</v>
      </c>
      <c r="AK182">
        <v>5</v>
      </c>
      <c r="AL182">
        <v>5</v>
      </c>
      <c r="AM182" t="s">
        <v>128</v>
      </c>
    </row>
    <row r="183" spans="1:39" x14ac:dyDescent="0.35">
      <c r="A183">
        <v>47</v>
      </c>
      <c r="B183" t="str" cm="1">
        <f t="array" ref="B183">_xlfn.IFS(A183&lt;=25,"18-25",A183&lt;=33,"26-33",A183&lt;=41,"34-41",A183&lt;=49,"42-49",A183&gt;49,"50 or above")</f>
        <v>42-49</v>
      </c>
      <c r="C183" t="s">
        <v>89</v>
      </c>
      <c r="D183" t="s">
        <v>63</v>
      </c>
      <c r="E183" t="s">
        <v>121</v>
      </c>
      <c r="F183" t="s">
        <v>87</v>
      </c>
      <c r="G183" t="s">
        <v>66</v>
      </c>
      <c r="H183" t="s">
        <v>66</v>
      </c>
      <c r="I183">
        <v>1</v>
      </c>
      <c r="K183" t="s">
        <v>93</v>
      </c>
      <c r="P183" t="s">
        <v>91</v>
      </c>
      <c r="Q183" t="s">
        <v>98</v>
      </c>
      <c r="R183" t="s">
        <v>110</v>
      </c>
      <c r="S183" t="s">
        <v>113</v>
      </c>
      <c r="T183" t="s">
        <v>140</v>
      </c>
      <c r="U183" t="s">
        <v>74</v>
      </c>
      <c r="V183" t="s">
        <v>75</v>
      </c>
      <c r="W183" t="s">
        <v>76</v>
      </c>
      <c r="X183" t="s">
        <v>77</v>
      </c>
      <c r="Y183" t="s">
        <v>108</v>
      </c>
      <c r="Z183" t="s">
        <v>80</v>
      </c>
      <c r="AA183" t="s">
        <v>78</v>
      </c>
      <c r="AB183" t="s">
        <v>81</v>
      </c>
      <c r="AC183" t="s">
        <v>78</v>
      </c>
      <c r="AD183" t="s">
        <v>81</v>
      </c>
      <c r="AE183" t="s">
        <v>80</v>
      </c>
      <c r="AF183" t="s">
        <v>79</v>
      </c>
      <c r="AG183" t="s">
        <v>81</v>
      </c>
      <c r="AH183" t="s">
        <v>78</v>
      </c>
      <c r="AI183" t="s">
        <v>80</v>
      </c>
      <c r="AJ183">
        <v>4</v>
      </c>
      <c r="AK183">
        <v>4</v>
      </c>
      <c r="AL183">
        <v>4</v>
      </c>
      <c r="AM183" t="s">
        <v>104</v>
      </c>
    </row>
    <row r="184" spans="1:39" x14ac:dyDescent="0.35">
      <c r="A184">
        <v>32</v>
      </c>
      <c r="B184" t="str" cm="1">
        <f t="array" ref="B184">_xlfn.IFS(A184&lt;=25,"18-25",A184&lt;=33,"26-33",A184&lt;=41,"34-41",A184&lt;=49,"42-49",A184&gt;49,"50 or above")</f>
        <v>26-33</v>
      </c>
      <c r="C184" t="s">
        <v>62</v>
      </c>
      <c r="D184" t="s">
        <v>116</v>
      </c>
      <c r="E184" t="s">
        <v>86</v>
      </c>
      <c r="F184" t="s">
        <v>65</v>
      </c>
      <c r="G184" t="s">
        <v>66</v>
      </c>
      <c r="H184" t="s">
        <v>66</v>
      </c>
      <c r="I184">
        <v>1</v>
      </c>
      <c r="J184" t="s">
        <v>67</v>
      </c>
      <c r="K184" t="s">
        <v>68</v>
      </c>
      <c r="L184" t="s">
        <v>69</v>
      </c>
      <c r="P184" t="s">
        <v>91</v>
      </c>
      <c r="Q184" t="s">
        <v>70</v>
      </c>
      <c r="R184" t="s">
        <v>92</v>
      </c>
      <c r="S184" t="s">
        <v>72</v>
      </c>
      <c r="T184" t="s">
        <v>99</v>
      </c>
      <c r="U184" t="s">
        <v>74</v>
      </c>
      <c r="V184" t="s">
        <v>75</v>
      </c>
      <c r="W184" t="s">
        <v>76</v>
      </c>
      <c r="Z184" t="s">
        <v>78</v>
      </c>
      <c r="AA184" t="s">
        <v>78</v>
      </c>
      <c r="AB184" t="s">
        <v>80</v>
      </c>
      <c r="AC184" t="s">
        <v>81</v>
      </c>
      <c r="AD184" t="s">
        <v>80</v>
      </c>
      <c r="AE184" t="s">
        <v>80</v>
      </c>
      <c r="AF184" t="s">
        <v>80</v>
      </c>
      <c r="AG184" t="s">
        <v>81</v>
      </c>
      <c r="AH184" t="s">
        <v>80</v>
      </c>
      <c r="AI184" t="s">
        <v>80</v>
      </c>
      <c r="AJ184">
        <v>4</v>
      </c>
      <c r="AK184">
        <v>4</v>
      </c>
      <c r="AL184">
        <v>4</v>
      </c>
      <c r="AM184" t="s">
        <v>104</v>
      </c>
    </row>
    <row r="185" spans="1:39" x14ac:dyDescent="0.35">
      <c r="A185">
        <v>27</v>
      </c>
      <c r="B185" t="str" cm="1">
        <f t="array" ref="B185">_xlfn.IFS(A185&lt;=25,"18-25",A185&lt;=33,"26-33",A185&lt;=41,"34-41",A185&lt;=49,"42-49",A185&gt;49,"50 or above")</f>
        <v>26-33</v>
      </c>
      <c r="C185" t="s">
        <v>89</v>
      </c>
      <c r="D185" t="s">
        <v>119</v>
      </c>
      <c r="E185" t="s">
        <v>86</v>
      </c>
      <c r="F185" t="s">
        <v>102</v>
      </c>
      <c r="G185" t="s">
        <v>66</v>
      </c>
      <c r="H185" t="s">
        <v>66</v>
      </c>
      <c r="I185">
        <v>1</v>
      </c>
      <c r="J185" t="s">
        <v>67</v>
      </c>
      <c r="K185" t="s">
        <v>68</v>
      </c>
      <c r="L185" t="s">
        <v>69</v>
      </c>
      <c r="P185" t="s">
        <v>67</v>
      </c>
      <c r="Q185" t="s">
        <v>117</v>
      </c>
      <c r="R185" t="s">
        <v>110</v>
      </c>
      <c r="S185" t="s">
        <v>107</v>
      </c>
      <c r="T185" t="s">
        <v>73</v>
      </c>
      <c r="U185" t="s">
        <v>74</v>
      </c>
      <c r="Z185" t="s">
        <v>80</v>
      </c>
      <c r="AA185" t="s">
        <v>78</v>
      </c>
      <c r="AB185" t="s">
        <v>80</v>
      </c>
      <c r="AC185" t="s">
        <v>78</v>
      </c>
      <c r="AD185" t="s">
        <v>78</v>
      </c>
      <c r="AE185" t="s">
        <v>80</v>
      </c>
      <c r="AF185" t="s">
        <v>78</v>
      </c>
      <c r="AG185" t="s">
        <v>80</v>
      </c>
      <c r="AH185" t="s">
        <v>78</v>
      </c>
      <c r="AI185" t="s">
        <v>78</v>
      </c>
      <c r="AJ185">
        <v>5</v>
      </c>
      <c r="AK185">
        <v>5</v>
      </c>
      <c r="AL185">
        <v>5</v>
      </c>
      <c r="AM185" t="s">
        <v>104</v>
      </c>
    </row>
    <row r="186" spans="1:39" x14ac:dyDescent="0.35">
      <c r="A186">
        <v>26</v>
      </c>
      <c r="B186" t="str" cm="1">
        <f t="array" ref="B186">_xlfn.IFS(A186&lt;=25,"18-25",A186&lt;=33,"26-33",A186&lt;=41,"34-41",A186&lt;=49,"42-49",A186&gt;49,"50 or above")</f>
        <v>26-33</v>
      </c>
      <c r="C186" t="s">
        <v>62</v>
      </c>
      <c r="D186" t="s">
        <v>63</v>
      </c>
      <c r="E186" t="s">
        <v>109</v>
      </c>
      <c r="F186" t="s">
        <v>90</v>
      </c>
      <c r="G186" t="s">
        <v>66</v>
      </c>
      <c r="H186" t="s">
        <v>66</v>
      </c>
      <c r="I186">
        <v>1</v>
      </c>
      <c r="J186" t="s">
        <v>67</v>
      </c>
      <c r="K186" t="s">
        <v>68</v>
      </c>
      <c r="L186" t="s">
        <v>69</v>
      </c>
      <c r="P186" t="s">
        <v>67</v>
      </c>
      <c r="Q186" t="s">
        <v>70</v>
      </c>
      <c r="R186" t="s">
        <v>92</v>
      </c>
      <c r="S186" t="s">
        <v>72</v>
      </c>
      <c r="T186" t="s">
        <v>99</v>
      </c>
      <c r="U186" t="s">
        <v>74</v>
      </c>
      <c r="V186" t="s">
        <v>75</v>
      </c>
      <c r="W186" t="s">
        <v>76</v>
      </c>
      <c r="X186" t="s">
        <v>77</v>
      </c>
      <c r="Y186" t="s">
        <v>108</v>
      </c>
      <c r="Z186" t="s">
        <v>78</v>
      </c>
      <c r="AA186" t="s">
        <v>80</v>
      </c>
      <c r="AB186" t="s">
        <v>78</v>
      </c>
      <c r="AC186" t="s">
        <v>80</v>
      </c>
      <c r="AD186" t="s">
        <v>78</v>
      </c>
      <c r="AE186" t="s">
        <v>80</v>
      </c>
      <c r="AF186" t="s">
        <v>78</v>
      </c>
      <c r="AG186" t="s">
        <v>80</v>
      </c>
      <c r="AH186" t="s">
        <v>78</v>
      </c>
      <c r="AI186" t="s">
        <v>78</v>
      </c>
      <c r="AJ186">
        <v>5</v>
      </c>
      <c r="AK186">
        <v>5</v>
      </c>
      <c r="AL186">
        <v>5</v>
      </c>
      <c r="AM186" t="s">
        <v>133</v>
      </c>
    </row>
    <row r="187" spans="1:39" x14ac:dyDescent="0.35">
      <c r="A187">
        <v>27</v>
      </c>
      <c r="B187" t="str" cm="1">
        <f t="array" ref="B187">_xlfn.IFS(A187&lt;=25,"18-25",A187&lt;=33,"26-33",A187&lt;=41,"34-41",A187&lt;=49,"42-49",A187&gt;49,"50 or above")</f>
        <v>26-33</v>
      </c>
      <c r="C187" t="s">
        <v>89</v>
      </c>
      <c r="D187" t="s">
        <v>63</v>
      </c>
      <c r="E187" t="s">
        <v>121</v>
      </c>
      <c r="F187" t="s">
        <v>127</v>
      </c>
      <c r="G187" t="s">
        <v>66</v>
      </c>
      <c r="H187" t="s">
        <v>66</v>
      </c>
      <c r="I187">
        <v>1</v>
      </c>
      <c r="J187" t="s">
        <v>67</v>
      </c>
      <c r="L187" t="s">
        <v>69</v>
      </c>
      <c r="P187" t="s">
        <v>67</v>
      </c>
      <c r="Q187" t="s">
        <v>70</v>
      </c>
      <c r="R187" t="s">
        <v>94</v>
      </c>
      <c r="S187" t="s">
        <v>113</v>
      </c>
      <c r="T187" t="s">
        <v>112</v>
      </c>
      <c r="U187" t="s">
        <v>74</v>
      </c>
      <c r="V187" t="s">
        <v>75</v>
      </c>
      <c r="W187" t="s">
        <v>76</v>
      </c>
      <c r="X187" t="s">
        <v>77</v>
      </c>
      <c r="Y187" t="s">
        <v>108</v>
      </c>
      <c r="Z187" t="s">
        <v>80</v>
      </c>
      <c r="AA187" t="s">
        <v>78</v>
      </c>
      <c r="AB187" t="s">
        <v>80</v>
      </c>
      <c r="AC187" t="s">
        <v>80</v>
      </c>
      <c r="AD187" t="s">
        <v>78</v>
      </c>
      <c r="AE187" t="s">
        <v>80</v>
      </c>
      <c r="AF187" t="s">
        <v>80</v>
      </c>
      <c r="AG187" t="s">
        <v>80</v>
      </c>
      <c r="AH187" t="s">
        <v>78</v>
      </c>
      <c r="AI187" t="s">
        <v>80</v>
      </c>
      <c r="AJ187">
        <v>3</v>
      </c>
      <c r="AK187">
        <v>3</v>
      </c>
      <c r="AL187">
        <v>3</v>
      </c>
      <c r="AM187" t="s">
        <v>104</v>
      </c>
    </row>
    <row r="188" spans="1:39" x14ac:dyDescent="0.35">
      <c r="A188">
        <v>29</v>
      </c>
      <c r="B188" t="str" cm="1">
        <f t="array" ref="B188">_xlfn.IFS(A188&lt;=25,"18-25",A188&lt;=33,"26-33",A188&lt;=41,"34-41",A188&lt;=49,"42-49",A188&gt;49,"50 or above")</f>
        <v>26-33</v>
      </c>
      <c r="C188" t="s">
        <v>62</v>
      </c>
      <c r="D188" t="s">
        <v>116</v>
      </c>
      <c r="E188" t="s">
        <v>109</v>
      </c>
      <c r="F188" t="s">
        <v>102</v>
      </c>
      <c r="G188" t="s">
        <v>66</v>
      </c>
      <c r="H188" t="s">
        <v>66</v>
      </c>
      <c r="I188">
        <v>1</v>
      </c>
      <c r="J188" t="s">
        <v>67</v>
      </c>
      <c r="K188" t="s">
        <v>68</v>
      </c>
      <c r="L188" t="s">
        <v>69</v>
      </c>
      <c r="P188" t="s">
        <v>93</v>
      </c>
      <c r="Q188" t="s">
        <v>70</v>
      </c>
      <c r="R188" t="s">
        <v>110</v>
      </c>
      <c r="S188" t="s">
        <v>113</v>
      </c>
      <c r="T188" t="s">
        <v>140</v>
      </c>
      <c r="U188" t="s">
        <v>74</v>
      </c>
      <c r="V188" t="s">
        <v>75</v>
      </c>
      <c r="W188" t="s">
        <v>76</v>
      </c>
      <c r="X188" t="s">
        <v>77</v>
      </c>
      <c r="Y188" t="s">
        <v>108</v>
      </c>
      <c r="Z188" t="s">
        <v>78</v>
      </c>
      <c r="AA188" t="s">
        <v>78</v>
      </c>
      <c r="AB188" t="s">
        <v>79</v>
      </c>
      <c r="AC188" t="s">
        <v>78</v>
      </c>
      <c r="AD188" t="s">
        <v>79</v>
      </c>
      <c r="AE188" t="s">
        <v>78</v>
      </c>
      <c r="AF188" t="s">
        <v>78</v>
      </c>
      <c r="AG188" t="s">
        <v>78</v>
      </c>
      <c r="AH188" t="s">
        <v>78</v>
      </c>
      <c r="AI188" t="s">
        <v>78</v>
      </c>
      <c r="AJ188">
        <v>4</v>
      </c>
      <c r="AK188">
        <v>5</v>
      </c>
      <c r="AL188">
        <v>4</v>
      </c>
      <c r="AM188" t="s">
        <v>133</v>
      </c>
    </row>
    <row r="189" spans="1:39" x14ac:dyDescent="0.35">
      <c r="A189">
        <v>33</v>
      </c>
      <c r="B189" t="str" cm="1">
        <f t="array" ref="B189">_xlfn.IFS(A189&lt;=25,"18-25",A189&lt;=33,"26-33",A189&lt;=41,"34-41",A189&lt;=49,"42-49",A189&gt;49,"50 or above")</f>
        <v>26-33</v>
      </c>
      <c r="C189" t="s">
        <v>89</v>
      </c>
      <c r="D189" t="s">
        <v>105</v>
      </c>
      <c r="E189" t="s">
        <v>86</v>
      </c>
      <c r="F189" t="s">
        <v>90</v>
      </c>
      <c r="G189" t="s">
        <v>66</v>
      </c>
      <c r="H189" t="s">
        <v>66</v>
      </c>
      <c r="I189">
        <v>1</v>
      </c>
      <c r="J189" t="s">
        <v>67</v>
      </c>
      <c r="K189" t="s">
        <v>68</v>
      </c>
      <c r="L189" t="s">
        <v>69</v>
      </c>
      <c r="P189" t="s">
        <v>91</v>
      </c>
      <c r="Q189" t="s">
        <v>98</v>
      </c>
      <c r="R189" t="s">
        <v>92</v>
      </c>
      <c r="S189" t="s">
        <v>72</v>
      </c>
      <c r="T189" t="s">
        <v>73</v>
      </c>
      <c r="U189" t="s">
        <v>74</v>
      </c>
      <c r="W189" t="s">
        <v>76</v>
      </c>
      <c r="X189" t="s">
        <v>77</v>
      </c>
      <c r="Y189" t="s">
        <v>108</v>
      </c>
      <c r="Z189" t="s">
        <v>81</v>
      </c>
      <c r="AA189" t="s">
        <v>81</v>
      </c>
      <c r="AB189" t="s">
        <v>78</v>
      </c>
      <c r="AC189" t="s">
        <v>81</v>
      </c>
      <c r="AD189" t="s">
        <v>78</v>
      </c>
      <c r="AE189" t="s">
        <v>80</v>
      </c>
      <c r="AF189" t="s">
        <v>81</v>
      </c>
      <c r="AG189" t="s">
        <v>81</v>
      </c>
      <c r="AH189" t="s">
        <v>81</v>
      </c>
      <c r="AI189" t="s">
        <v>80</v>
      </c>
      <c r="AJ189">
        <v>3</v>
      </c>
      <c r="AK189">
        <v>3</v>
      </c>
      <c r="AL189">
        <v>3</v>
      </c>
      <c r="AM189" t="s">
        <v>97</v>
      </c>
    </row>
    <row r="190" spans="1:39" x14ac:dyDescent="0.35">
      <c r="A190">
        <v>25</v>
      </c>
      <c r="B190" t="str" cm="1">
        <f t="array" ref="B190">_xlfn.IFS(A190&lt;=25,"18-25",A190&lt;=33,"26-33",A190&lt;=41,"34-41",A190&lt;=49,"42-49",A190&gt;49,"50 or above")</f>
        <v>18-25</v>
      </c>
      <c r="C190" t="s">
        <v>62</v>
      </c>
      <c r="D190" t="s">
        <v>116</v>
      </c>
      <c r="E190" t="s">
        <v>121</v>
      </c>
      <c r="F190" t="s">
        <v>102</v>
      </c>
      <c r="G190" t="s">
        <v>66</v>
      </c>
      <c r="H190" t="s">
        <v>66</v>
      </c>
      <c r="I190">
        <v>1</v>
      </c>
      <c r="J190" t="s">
        <v>67</v>
      </c>
      <c r="L190" t="s">
        <v>69</v>
      </c>
      <c r="P190" t="s">
        <v>91</v>
      </c>
      <c r="Q190" t="s">
        <v>98</v>
      </c>
      <c r="R190" t="s">
        <v>110</v>
      </c>
      <c r="S190" t="s">
        <v>95</v>
      </c>
      <c r="T190" t="s">
        <v>73</v>
      </c>
      <c r="U190" t="s">
        <v>74</v>
      </c>
      <c r="Y190" t="s">
        <v>108</v>
      </c>
      <c r="Z190" t="s">
        <v>80</v>
      </c>
      <c r="AA190" t="s">
        <v>80</v>
      </c>
      <c r="AB190" t="s">
        <v>79</v>
      </c>
      <c r="AC190" t="s">
        <v>81</v>
      </c>
      <c r="AD190" t="s">
        <v>80</v>
      </c>
      <c r="AE190" t="s">
        <v>80</v>
      </c>
      <c r="AF190" t="s">
        <v>81</v>
      </c>
      <c r="AG190" t="s">
        <v>80</v>
      </c>
      <c r="AH190" t="s">
        <v>80</v>
      </c>
      <c r="AI190" t="s">
        <v>80</v>
      </c>
      <c r="AJ190">
        <v>3</v>
      </c>
      <c r="AK190">
        <v>3</v>
      </c>
      <c r="AL190">
        <v>4</v>
      </c>
      <c r="AM190" t="s">
        <v>128</v>
      </c>
    </row>
    <row r="191" spans="1:39" x14ac:dyDescent="0.35">
      <c r="A191">
        <v>28</v>
      </c>
      <c r="B191" t="str" cm="1">
        <f t="array" ref="B191">_xlfn.IFS(A191&lt;=25,"18-25",A191&lt;=33,"26-33",A191&lt;=41,"34-41",A191&lt;=49,"42-49",A191&gt;49,"50 or above")</f>
        <v>26-33</v>
      </c>
      <c r="C191" t="s">
        <v>89</v>
      </c>
      <c r="D191" t="s">
        <v>63</v>
      </c>
      <c r="E191" t="s">
        <v>86</v>
      </c>
      <c r="F191" t="s">
        <v>90</v>
      </c>
      <c r="G191" t="s">
        <v>66</v>
      </c>
      <c r="H191" t="s">
        <v>66</v>
      </c>
      <c r="I191">
        <v>1</v>
      </c>
      <c r="J191" t="s">
        <v>67</v>
      </c>
      <c r="L191" t="s">
        <v>69</v>
      </c>
      <c r="P191" t="s">
        <v>67</v>
      </c>
      <c r="Q191" t="s">
        <v>70</v>
      </c>
      <c r="R191" t="s">
        <v>71</v>
      </c>
      <c r="S191" t="s">
        <v>113</v>
      </c>
      <c r="T191" t="s">
        <v>99</v>
      </c>
      <c r="W191" t="s">
        <v>134</v>
      </c>
      <c r="Y191" t="s">
        <v>108</v>
      </c>
      <c r="Z191" t="s">
        <v>81</v>
      </c>
      <c r="AA191" t="s">
        <v>81</v>
      </c>
      <c r="AB191" t="s">
        <v>78</v>
      </c>
      <c r="AC191" t="s">
        <v>78</v>
      </c>
      <c r="AD191" t="s">
        <v>78</v>
      </c>
      <c r="AE191" t="s">
        <v>81</v>
      </c>
      <c r="AF191" t="s">
        <v>81</v>
      </c>
      <c r="AG191" t="s">
        <v>81</v>
      </c>
      <c r="AH191" t="s">
        <v>81</v>
      </c>
      <c r="AI191" t="s">
        <v>81</v>
      </c>
      <c r="AJ191">
        <v>3</v>
      </c>
      <c r="AK191">
        <v>3</v>
      </c>
      <c r="AL191">
        <v>3</v>
      </c>
      <c r="AM191" t="s">
        <v>97</v>
      </c>
    </row>
    <row r="192" spans="1:39" x14ac:dyDescent="0.35">
      <c r="A192">
        <v>37</v>
      </c>
      <c r="B192" t="str" cm="1">
        <f t="array" ref="B192">_xlfn.IFS(A192&lt;=25,"18-25",A192&lt;=33,"26-33",A192&lt;=41,"34-41",A192&lt;=49,"42-49",A192&gt;49,"50 or above")</f>
        <v>34-41</v>
      </c>
      <c r="C192" t="s">
        <v>62</v>
      </c>
      <c r="D192" t="s">
        <v>105</v>
      </c>
      <c r="E192" t="s">
        <v>109</v>
      </c>
      <c r="F192" t="s">
        <v>65</v>
      </c>
      <c r="G192" t="s">
        <v>66</v>
      </c>
      <c r="H192" t="s">
        <v>66</v>
      </c>
      <c r="I192">
        <v>1</v>
      </c>
      <c r="J192" t="s">
        <v>67</v>
      </c>
      <c r="K192" t="s">
        <v>68</v>
      </c>
      <c r="L192" t="s">
        <v>69</v>
      </c>
      <c r="P192" t="s">
        <v>91</v>
      </c>
      <c r="Q192" t="s">
        <v>98</v>
      </c>
      <c r="R192" t="s">
        <v>92</v>
      </c>
      <c r="S192" t="s">
        <v>107</v>
      </c>
      <c r="T192" t="s">
        <v>73</v>
      </c>
      <c r="U192" t="s">
        <v>74</v>
      </c>
      <c r="V192" t="s">
        <v>75</v>
      </c>
      <c r="W192" t="s">
        <v>76</v>
      </c>
      <c r="X192" t="s">
        <v>77</v>
      </c>
      <c r="Y192" t="s">
        <v>108</v>
      </c>
      <c r="Z192" t="s">
        <v>78</v>
      </c>
      <c r="AA192" t="s">
        <v>78</v>
      </c>
      <c r="AB192" t="s">
        <v>79</v>
      </c>
      <c r="AC192" t="s">
        <v>78</v>
      </c>
      <c r="AD192" t="s">
        <v>79</v>
      </c>
      <c r="AE192" t="s">
        <v>78</v>
      </c>
      <c r="AF192" t="s">
        <v>78</v>
      </c>
      <c r="AG192" t="s">
        <v>78</v>
      </c>
      <c r="AH192" t="s">
        <v>78</v>
      </c>
      <c r="AI192" t="s">
        <v>78</v>
      </c>
      <c r="AJ192">
        <v>4</v>
      </c>
      <c r="AK192">
        <v>4</v>
      </c>
      <c r="AL192">
        <v>4</v>
      </c>
      <c r="AM192" t="s">
        <v>82</v>
      </c>
    </row>
    <row r="193" spans="1:44" x14ac:dyDescent="0.35">
      <c r="A193">
        <v>28</v>
      </c>
      <c r="B193" t="str" cm="1">
        <f t="array" ref="B193">_xlfn.IFS(A193&lt;=25,"18-25",A193&lt;=33,"26-33",A193&lt;=41,"34-41",A193&lt;=49,"42-49",A193&gt;49,"50 or above")</f>
        <v>26-33</v>
      </c>
      <c r="C193" t="s">
        <v>89</v>
      </c>
      <c r="D193" t="s">
        <v>116</v>
      </c>
      <c r="E193" t="s">
        <v>86</v>
      </c>
      <c r="F193" t="s">
        <v>87</v>
      </c>
      <c r="G193" t="s">
        <v>66</v>
      </c>
      <c r="H193" t="s">
        <v>66</v>
      </c>
      <c r="I193">
        <v>1</v>
      </c>
      <c r="J193" t="s">
        <v>67</v>
      </c>
      <c r="K193" t="s">
        <v>68</v>
      </c>
      <c r="L193" t="s">
        <v>69</v>
      </c>
      <c r="P193" t="s">
        <v>67</v>
      </c>
      <c r="Q193" t="s">
        <v>98</v>
      </c>
      <c r="R193" t="s">
        <v>92</v>
      </c>
      <c r="S193" t="s">
        <v>107</v>
      </c>
      <c r="T193" t="s">
        <v>140</v>
      </c>
      <c r="U193" t="s">
        <v>74</v>
      </c>
      <c r="W193" t="s">
        <v>76</v>
      </c>
      <c r="Z193" t="s">
        <v>80</v>
      </c>
      <c r="AA193" t="s">
        <v>78</v>
      </c>
      <c r="AB193" t="s">
        <v>80</v>
      </c>
      <c r="AC193" t="s">
        <v>78</v>
      </c>
      <c r="AD193" t="s">
        <v>80</v>
      </c>
      <c r="AE193" t="s">
        <v>78</v>
      </c>
      <c r="AF193" t="s">
        <v>80</v>
      </c>
      <c r="AG193" t="s">
        <v>80</v>
      </c>
      <c r="AH193" t="s">
        <v>80</v>
      </c>
      <c r="AI193" t="s">
        <v>78</v>
      </c>
      <c r="AJ193">
        <v>4</v>
      </c>
      <c r="AK193">
        <v>4</v>
      </c>
      <c r="AL193">
        <v>3</v>
      </c>
      <c r="AM193" t="s">
        <v>133</v>
      </c>
    </row>
    <row r="194" spans="1:44" x14ac:dyDescent="0.35">
      <c r="A194">
        <v>32</v>
      </c>
      <c r="B194" t="str" cm="1">
        <f t="array" ref="B194">_xlfn.IFS(A194&lt;=25,"18-25",A194&lt;=33,"26-33",A194&lt;=41,"34-41",A194&lt;=49,"42-49",A194&gt;49,"50 or above")</f>
        <v>26-33</v>
      </c>
      <c r="C194" t="s">
        <v>62</v>
      </c>
      <c r="D194" t="s">
        <v>105</v>
      </c>
      <c r="E194" t="s">
        <v>109</v>
      </c>
      <c r="F194" t="s">
        <v>87</v>
      </c>
      <c r="G194" t="s">
        <v>66</v>
      </c>
      <c r="H194" t="s">
        <v>66</v>
      </c>
      <c r="I194">
        <v>1</v>
      </c>
      <c r="J194" t="s">
        <v>67</v>
      </c>
      <c r="L194" t="s">
        <v>69</v>
      </c>
      <c r="P194" t="s">
        <v>67</v>
      </c>
      <c r="Q194" t="s">
        <v>98</v>
      </c>
      <c r="R194" t="s">
        <v>92</v>
      </c>
      <c r="S194" t="s">
        <v>113</v>
      </c>
      <c r="T194" t="s">
        <v>140</v>
      </c>
      <c r="U194" t="s">
        <v>74</v>
      </c>
      <c r="Y194" t="s">
        <v>108</v>
      </c>
      <c r="Z194" t="s">
        <v>81</v>
      </c>
      <c r="AA194" t="s">
        <v>81</v>
      </c>
      <c r="AB194" t="s">
        <v>80</v>
      </c>
      <c r="AC194" t="s">
        <v>81</v>
      </c>
      <c r="AD194" t="s">
        <v>80</v>
      </c>
      <c r="AE194" t="s">
        <v>81</v>
      </c>
      <c r="AF194" t="s">
        <v>81</v>
      </c>
      <c r="AG194" t="s">
        <v>81</v>
      </c>
      <c r="AH194" t="s">
        <v>80</v>
      </c>
      <c r="AI194" t="s">
        <v>80</v>
      </c>
      <c r="AJ194">
        <v>4</v>
      </c>
      <c r="AK194">
        <v>4</v>
      </c>
      <c r="AL194">
        <v>4</v>
      </c>
      <c r="AM194" t="s">
        <v>104</v>
      </c>
    </row>
    <row r="195" spans="1:44" x14ac:dyDescent="0.35">
      <c r="A195">
        <v>32</v>
      </c>
      <c r="B195" t="str" cm="1">
        <f t="array" ref="B195">_xlfn.IFS(A195&lt;=25,"18-25",A195&lt;=33,"26-33",A195&lt;=41,"34-41",A195&lt;=49,"42-49",A195&gt;49,"50 or above")</f>
        <v>26-33</v>
      </c>
      <c r="C195" t="s">
        <v>89</v>
      </c>
      <c r="D195" t="s">
        <v>105</v>
      </c>
      <c r="E195" t="s">
        <v>109</v>
      </c>
      <c r="F195" t="s">
        <v>87</v>
      </c>
      <c r="G195" t="s">
        <v>66</v>
      </c>
      <c r="H195" t="s">
        <v>66</v>
      </c>
      <c r="I195">
        <v>1</v>
      </c>
      <c r="J195" t="s">
        <v>67</v>
      </c>
      <c r="K195" t="s">
        <v>68</v>
      </c>
      <c r="L195" t="s">
        <v>69</v>
      </c>
      <c r="P195" t="s">
        <v>93</v>
      </c>
      <c r="Q195" t="s">
        <v>98</v>
      </c>
      <c r="R195" t="s">
        <v>71</v>
      </c>
      <c r="S195" t="s">
        <v>72</v>
      </c>
      <c r="T195" t="s">
        <v>112</v>
      </c>
      <c r="X195" t="s">
        <v>131</v>
      </c>
      <c r="Z195" t="s">
        <v>81</v>
      </c>
      <c r="AA195" t="s">
        <v>81</v>
      </c>
      <c r="AB195" t="s">
        <v>78</v>
      </c>
      <c r="AC195" t="s">
        <v>78</v>
      </c>
      <c r="AD195" t="s">
        <v>78</v>
      </c>
      <c r="AE195" t="s">
        <v>81</v>
      </c>
      <c r="AF195" t="s">
        <v>80</v>
      </c>
      <c r="AG195" t="s">
        <v>80</v>
      </c>
      <c r="AH195" t="s">
        <v>80</v>
      </c>
      <c r="AI195" t="s">
        <v>80</v>
      </c>
      <c r="AJ195">
        <v>3</v>
      </c>
      <c r="AK195">
        <v>3</v>
      </c>
      <c r="AL195">
        <v>3</v>
      </c>
      <c r="AM195" t="s">
        <v>128</v>
      </c>
    </row>
    <row r="196" spans="1:44" x14ac:dyDescent="0.35">
      <c r="A196">
        <v>24</v>
      </c>
      <c r="B196" t="str" cm="1">
        <f t="array" ref="B196">_xlfn.IFS(A196&lt;=25,"18-25",A196&lt;=33,"26-33",A196&lt;=41,"34-41",A196&lt;=49,"42-49",A196&gt;49,"50 or above")</f>
        <v>18-25</v>
      </c>
      <c r="C196" t="s">
        <v>62</v>
      </c>
      <c r="D196" t="s">
        <v>63</v>
      </c>
      <c r="E196" t="s">
        <v>86</v>
      </c>
      <c r="F196" t="s">
        <v>87</v>
      </c>
      <c r="G196" t="s">
        <v>66</v>
      </c>
      <c r="H196" t="s">
        <v>66</v>
      </c>
      <c r="I196">
        <v>1</v>
      </c>
      <c r="J196" t="s">
        <v>67</v>
      </c>
      <c r="K196" t="s">
        <v>68</v>
      </c>
      <c r="L196" t="s">
        <v>69</v>
      </c>
      <c r="P196" t="s">
        <v>67</v>
      </c>
      <c r="Q196" t="s">
        <v>70</v>
      </c>
      <c r="R196" t="s">
        <v>94</v>
      </c>
      <c r="S196" t="s">
        <v>107</v>
      </c>
      <c r="T196" t="s">
        <v>73</v>
      </c>
      <c r="U196" t="s">
        <v>74</v>
      </c>
      <c r="Z196" t="s">
        <v>78</v>
      </c>
      <c r="AA196" t="s">
        <v>78</v>
      </c>
      <c r="AB196" t="s">
        <v>81</v>
      </c>
      <c r="AC196" t="s">
        <v>81</v>
      </c>
      <c r="AD196" t="s">
        <v>81</v>
      </c>
      <c r="AE196" t="s">
        <v>81</v>
      </c>
      <c r="AF196" t="s">
        <v>78</v>
      </c>
      <c r="AG196" t="s">
        <v>81</v>
      </c>
      <c r="AH196" t="s">
        <v>80</v>
      </c>
      <c r="AI196" t="s">
        <v>80</v>
      </c>
      <c r="AJ196">
        <v>4</v>
      </c>
      <c r="AK196">
        <v>4</v>
      </c>
      <c r="AL196">
        <v>4</v>
      </c>
      <c r="AM196" t="s">
        <v>115</v>
      </c>
    </row>
    <row r="197" spans="1:44" x14ac:dyDescent="0.35">
      <c r="A197">
        <v>28</v>
      </c>
      <c r="B197" t="str" cm="1">
        <f t="array" ref="B197">_xlfn.IFS(A197&lt;=25,"18-25",A197&lt;=33,"26-33",A197&lt;=41,"34-41",A197&lt;=49,"42-49",A197&gt;49,"50 or above")</f>
        <v>26-33</v>
      </c>
      <c r="C197" t="s">
        <v>89</v>
      </c>
      <c r="D197" t="s">
        <v>116</v>
      </c>
      <c r="E197" t="s">
        <v>86</v>
      </c>
      <c r="F197" t="s">
        <v>102</v>
      </c>
      <c r="G197" t="s">
        <v>66</v>
      </c>
      <c r="H197" t="s">
        <v>66</v>
      </c>
      <c r="I197">
        <v>1</v>
      </c>
      <c r="J197" t="s">
        <v>67</v>
      </c>
      <c r="K197" t="s">
        <v>68</v>
      </c>
      <c r="L197" t="s">
        <v>69</v>
      </c>
      <c r="P197" t="s">
        <v>91</v>
      </c>
      <c r="Q197" t="s">
        <v>103</v>
      </c>
      <c r="R197" t="s">
        <v>71</v>
      </c>
      <c r="S197" t="s">
        <v>95</v>
      </c>
      <c r="T197" t="s">
        <v>73</v>
      </c>
      <c r="U197" t="s">
        <v>74</v>
      </c>
      <c r="Y197" t="s">
        <v>108</v>
      </c>
      <c r="Z197" t="s">
        <v>78</v>
      </c>
      <c r="AA197" t="s">
        <v>78</v>
      </c>
      <c r="AB197" t="s">
        <v>81</v>
      </c>
      <c r="AC197" t="s">
        <v>81</v>
      </c>
      <c r="AD197" t="s">
        <v>81</v>
      </c>
      <c r="AE197" t="s">
        <v>78</v>
      </c>
      <c r="AF197" t="s">
        <v>78</v>
      </c>
      <c r="AG197" t="s">
        <v>78</v>
      </c>
      <c r="AH197" t="s">
        <v>78</v>
      </c>
      <c r="AI197" t="s">
        <v>78</v>
      </c>
      <c r="AJ197">
        <v>5</v>
      </c>
      <c r="AK197">
        <v>5</v>
      </c>
      <c r="AL197">
        <v>5</v>
      </c>
      <c r="AM197" t="s">
        <v>115</v>
      </c>
    </row>
    <row r="198" spans="1:44" x14ac:dyDescent="0.35">
      <c r="A198">
        <v>30</v>
      </c>
      <c r="B198" t="str" cm="1">
        <f t="array" ref="B198">_xlfn.IFS(A198&lt;=25,"18-25",A198&lt;=33,"26-33",A198&lt;=41,"34-41",A198&lt;=49,"42-49",A198&gt;49,"50 or above")</f>
        <v>26-33</v>
      </c>
      <c r="C198" t="s">
        <v>89</v>
      </c>
      <c r="D198" t="s">
        <v>63</v>
      </c>
      <c r="E198" t="s">
        <v>86</v>
      </c>
      <c r="F198" t="s">
        <v>90</v>
      </c>
      <c r="G198" t="s">
        <v>66</v>
      </c>
      <c r="H198" t="s">
        <v>66</v>
      </c>
      <c r="I198">
        <v>1</v>
      </c>
      <c r="J198" t="s">
        <v>67</v>
      </c>
      <c r="K198" t="s">
        <v>68</v>
      </c>
      <c r="L198" t="s">
        <v>69</v>
      </c>
      <c r="P198" t="s">
        <v>91</v>
      </c>
      <c r="Q198" t="s">
        <v>103</v>
      </c>
      <c r="R198" t="s">
        <v>92</v>
      </c>
      <c r="S198" t="s">
        <v>72</v>
      </c>
      <c r="T198" t="s">
        <v>73</v>
      </c>
      <c r="U198" t="s">
        <v>74</v>
      </c>
      <c r="V198" t="s">
        <v>75</v>
      </c>
      <c r="W198" t="s">
        <v>76</v>
      </c>
      <c r="X198" t="s">
        <v>77</v>
      </c>
      <c r="Y198" t="s">
        <v>108</v>
      </c>
      <c r="Z198" t="s">
        <v>80</v>
      </c>
      <c r="AA198" t="s">
        <v>80</v>
      </c>
      <c r="AB198" t="s">
        <v>80</v>
      </c>
      <c r="AC198" t="s">
        <v>80</v>
      </c>
      <c r="AD198" t="s">
        <v>80</v>
      </c>
      <c r="AE198" t="s">
        <v>80</v>
      </c>
      <c r="AF198" t="s">
        <v>80</v>
      </c>
      <c r="AG198" t="s">
        <v>80</v>
      </c>
      <c r="AH198" t="s">
        <v>80</v>
      </c>
      <c r="AI198" t="s">
        <v>80</v>
      </c>
      <c r="AJ198">
        <v>4</v>
      </c>
      <c r="AK198">
        <v>4</v>
      </c>
      <c r="AL198">
        <v>4</v>
      </c>
      <c r="AM198" t="s">
        <v>82</v>
      </c>
    </row>
    <row r="199" spans="1:44" x14ac:dyDescent="0.35">
      <c r="A199">
        <v>26</v>
      </c>
      <c r="B199" t="str" cm="1">
        <f t="array" ref="B199">_xlfn.IFS(A199&lt;=25,"18-25",A199&lt;=33,"26-33",A199&lt;=41,"34-41",A199&lt;=49,"42-49",A199&gt;49,"50 or above")</f>
        <v>26-33</v>
      </c>
      <c r="C199" t="s">
        <v>62</v>
      </c>
      <c r="D199" t="s">
        <v>63</v>
      </c>
      <c r="E199" t="s">
        <v>86</v>
      </c>
      <c r="F199" t="s">
        <v>90</v>
      </c>
      <c r="G199" t="s">
        <v>66</v>
      </c>
      <c r="H199" t="s">
        <v>66</v>
      </c>
      <c r="I199">
        <v>1</v>
      </c>
      <c r="J199" t="s">
        <v>67</v>
      </c>
      <c r="K199" t="s">
        <v>68</v>
      </c>
      <c r="L199" t="s">
        <v>69</v>
      </c>
      <c r="P199" t="s">
        <v>91</v>
      </c>
      <c r="Q199" t="s">
        <v>98</v>
      </c>
      <c r="R199" t="s">
        <v>71</v>
      </c>
      <c r="S199" t="s">
        <v>95</v>
      </c>
      <c r="T199" t="s">
        <v>73</v>
      </c>
      <c r="U199" t="s">
        <v>74</v>
      </c>
      <c r="Y199" t="s">
        <v>108</v>
      </c>
      <c r="Z199" t="s">
        <v>78</v>
      </c>
      <c r="AA199" t="s">
        <v>78</v>
      </c>
      <c r="AB199" t="s">
        <v>80</v>
      </c>
      <c r="AC199" t="s">
        <v>80</v>
      </c>
      <c r="AD199" t="s">
        <v>80</v>
      </c>
      <c r="AE199" t="s">
        <v>80</v>
      </c>
      <c r="AF199" t="s">
        <v>81</v>
      </c>
      <c r="AG199" t="s">
        <v>81</v>
      </c>
      <c r="AH199" t="s">
        <v>81</v>
      </c>
      <c r="AI199" t="s">
        <v>81</v>
      </c>
      <c r="AJ199">
        <v>3</v>
      </c>
      <c r="AK199">
        <v>3</v>
      </c>
      <c r="AL199">
        <v>3</v>
      </c>
      <c r="AM199" t="s">
        <v>97</v>
      </c>
    </row>
    <row r="200" spans="1:44" x14ac:dyDescent="0.35">
      <c r="A200">
        <v>35</v>
      </c>
      <c r="B200" t="str" cm="1">
        <f t="array" ref="B200">_xlfn.IFS(A200&lt;=25,"18-25",A200&lt;=33,"26-33",A200&lt;=41,"34-41",A200&lt;=49,"42-49",A200&gt;49,"50 or above")</f>
        <v>34-41</v>
      </c>
      <c r="C200" t="s">
        <v>62</v>
      </c>
      <c r="D200" t="s">
        <v>105</v>
      </c>
      <c r="E200" t="s">
        <v>109</v>
      </c>
      <c r="F200" t="s">
        <v>90</v>
      </c>
      <c r="G200" t="s">
        <v>66</v>
      </c>
      <c r="H200" t="s">
        <v>66</v>
      </c>
      <c r="I200">
        <v>1</v>
      </c>
      <c r="J200" t="s">
        <v>67</v>
      </c>
      <c r="K200" t="s">
        <v>68</v>
      </c>
      <c r="L200" t="s">
        <v>69</v>
      </c>
      <c r="P200" t="s">
        <v>67</v>
      </c>
      <c r="Q200" t="s">
        <v>103</v>
      </c>
      <c r="R200" t="s">
        <v>92</v>
      </c>
      <c r="S200" t="s">
        <v>113</v>
      </c>
      <c r="T200" t="s">
        <v>73</v>
      </c>
      <c r="U200" t="s">
        <v>74</v>
      </c>
      <c r="Z200" t="s">
        <v>80</v>
      </c>
      <c r="AA200" t="s">
        <v>78</v>
      </c>
      <c r="AB200" t="s">
        <v>80</v>
      </c>
      <c r="AC200" t="s">
        <v>80</v>
      </c>
      <c r="AD200" t="s">
        <v>80</v>
      </c>
      <c r="AE200" t="s">
        <v>80</v>
      </c>
      <c r="AF200" t="s">
        <v>80</v>
      </c>
      <c r="AG200" t="s">
        <v>81</v>
      </c>
      <c r="AH200" t="s">
        <v>80</v>
      </c>
      <c r="AI200" t="s">
        <v>80</v>
      </c>
      <c r="AJ200">
        <v>4</v>
      </c>
      <c r="AK200">
        <v>4</v>
      </c>
      <c r="AL200">
        <v>4</v>
      </c>
      <c r="AM200" t="s">
        <v>82</v>
      </c>
    </row>
    <row r="201" spans="1:44" x14ac:dyDescent="0.35">
      <c r="A201">
        <v>40</v>
      </c>
      <c r="B201" t="str" cm="1">
        <f t="array" ref="B201">_xlfn.IFS(A201&lt;=25,"18-25",A201&lt;=33,"26-33",A201&lt;=41,"34-41",A201&lt;=49,"42-49",A201&gt;49,"50 or above")</f>
        <v>34-41</v>
      </c>
      <c r="C201" t="s">
        <v>89</v>
      </c>
      <c r="D201" t="s">
        <v>105</v>
      </c>
      <c r="E201" t="s">
        <v>86</v>
      </c>
      <c r="F201" t="s">
        <v>102</v>
      </c>
      <c r="G201" t="s">
        <v>66</v>
      </c>
      <c r="H201" t="s">
        <v>66</v>
      </c>
      <c r="I201">
        <v>1</v>
      </c>
      <c r="J201" t="s">
        <v>67</v>
      </c>
      <c r="L201" t="s">
        <v>69</v>
      </c>
      <c r="P201" t="s">
        <v>91</v>
      </c>
      <c r="Q201" t="s">
        <v>98</v>
      </c>
      <c r="R201" t="s">
        <v>94</v>
      </c>
      <c r="S201" t="s">
        <v>72</v>
      </c>
      <c r="T201" t="s">
        <v>99</v>
      </c>
      <c r="U201" t="s">
        <v>74</v>
      </c>
      <c r="V201" t="s">
        <v>75</v>
      </c>
      <c r="X201" t="s">
        <v>77</v>
      </c>
      <c r="Z201" t="s">
        <v>80</v>
      </c>
      <c r="AA201" t="s">
        <v>80</v>
      </c>
      <c r="AB201" t="s">
        <v>78</v>
      </c>
      <c r="AC201" t="s">
        <v>78</v>
      </c>
      <c r="AD201" t="s">
        <v>78</v>
      </c>
      <c r="AE201" t="s">
        <v>81</v>
      </c>
      <c r="AF201" t="s">
        <v>80</v>
      </c>
      <c r="AG201" t="s">
        <v>79</v>
      </c>
      <c r="AH201" t="s">
        <v>78</v>
      </c>
      <c r="AI201" t="s">
        <v>78</v>
      </c>
      <c r="AJ201">
        <v>4</v>
      </c>
      <c r="AK201">
        <v>5</v>
      </c>
      <c r="AL201">
        <v>4</v>
      </c>
      <c r="AM201" t="s">
        <v>128</v>
      </c>
    </row>
    <row r="202" spans="1:44" x14ac:dyDescent="0.35">
      <c r="A202">
        <v>32</v>
      </c>
      <c r="B202" t="str" cm="1">
        <f t="array" ref="B202">_xlfn.IFS(A202&lt;=25,"18-25",A202&lt;=33,"26-33",A202&lt;=41,"34-41",A202&lt;=49,"42-49",A202&gt;49,"50 or above")</f>
        <v>26-33</v>
      </c>
      <c r="C202" t="s">
        <v>62</v>
      </c>
      <c r="D202" t="s">
        <v>105</v>
      </c>
      <c r="E202" t="s">
        <v>86</v>
      </c>
      <c r="F202" t="s">
        <v>90</v>
      </c>
      <c r="G202" t="s">
        <v>66</v>
      </c>
      <c r="H202" t="s">
        <v>66</v>
      </c>
      <c r="I202">
        <v>1</v>
      </c>
      <c r="J202" t="s">
        <v>67</v>
      </c>
      <c r="L202" t="s">
        <v>69</v>
      </c>
      <c r="P202" t="s">
        <v>91</v>
      </c>
      <c r="Q202" t="s">
        <v>98</v>
      </c>
      <c r="R202" t="s">
        <v>71</v>
      </c>
      <c r="S202" t="s">
        <v>113</v>
      </c>
      <c r="T202" t="s">
        <v>73</v>
      </c>
      <c r="U202" t="s">
        <v>74</v>
      </c>
      <c r="Z202" t="s">
        <v>80</v>
      </c>
      <c r="AA202" t="s">
        <v>78</v>
      </c>
      <c r="AB202" t="s">
        <v>80</v>
      </c>
      <c r="AC202" t="s">
        <v>78</v>
      </c>
      <c r="AD202" t="s">
        <v>80</v>
      </c>
      <c r="AE202" t="s">
        <v>81</v>
      </c>
      <c r="AF202" t="s">
        <v>78</v>
      </c>
      <c r="AG202" t="s">
        <v>80</v>
      </c>
      <c r="AH202" t="s">
        <v>78</v>
      </c>
      <c r="AI202" t="s">
        <v>80</v>
      </c>
      <c r="AJ202">
        <v>3</v>
      </c>
      <c r="AK202">
        <v>3</v>
      </c>
      <c r="AL202">
        <v>3</v>
      </c>
      <c r="AM202" t="s">
        <v>133</v>
      </c>
    </row>
    <row r="203" spans="1:44" x14ac:dyDescent="0.35">
      <c r="A203">
        <v>34</v>
      </c>
      <c r="B203" t="str" cm="1">
        <f t="array" ref="B203">_xlfn.IFS(A203&lt;=25,"18-25",A203&lt;=33,"26-33",A203&lt;=41,"34-41",A203&lt;=49,"42-49",A203&gt;49,"50 or above")</f>
        <v>34-41</v>
      </c>
      <c r="C203" t="s">
        <v>62</v>
      </c>
      <c r="D203" t="s">
        <v>105</v>
      </c>
      <c r="E203" t="s">
        <v>109</v>
      </c>
      <c r="F203" t="s">
        <v>87</v>
      </c>
      <c r="G203" t="s">
        <v>66</v>
      </c>
      <c r="H203" t="s">
        <v>66</v>
      </c>
      <c r="I203">
        <v>1</v>
      </c>
      <c r="J203" t="s">
        <v>67</v>
      </c>
      <c r="K203" t="s">
        <v>68</v>
      </c>
      <c r="L203" t="s">
        <v>69</v>
      </c>
      <c r="P203" t="s">
        <v>91</v>
      </c>
      <c r="Q203" t="s">
        <v>98</v>
      </c>
      <c r="R203" t="s">
        <v>92</v>
      </c>
      <c r="S203" t="s">
        <v>72</v>
      </c>
      <c r="T203" t="s">
        <v>73</v>
      </c>
      <c r="V203" t="s">
        <v>96</v>
      </c>
      <c r="W203" t="s">
        <v>76</v>
      </c>
      <c r="Y203" t="s">
        <v>108</v>
      </c>
      <c r="Z203" t="s">
        <v>78</v>
      </c>
      <c r="AA203" t="s">
        <v>80</v>
      </c>
      <c r="AB203" t="s">
        <v>80</v>
      </c>
      <c r="AC203" t="s">
        <v>78</v>
      </c>
      <c r="AD203" t="s">
        <v>80</v>
      </c>
      <c r="AE203" t="s">
        <v>78</v>
      </c>
      <c r="AF203" t="s">
        <v>80</v>
      </c>
      <c r="AG203" t="s">
        <v>80</v>
      </c>
      <c r="AH203" t="s">
        <v>80</v>
      </c>
      <c r="AI203" t="s">
        <v>80</v>
      </c>
      <c r="AJ203">
        <v>3</v>
      </c>
      <c r="AK203">
        <v>3</v>
      </c>
      <c r="AL203">
        <v>3</v>
      </c>
      <c r="AM203" t="s">
        <v>133</v>
      </c>
    </row>
    <row r="204" spans="1:44" x14ac:dyDescent="0.35">
      <c r="A204">
        <v>35</v>
      </c>
      <c r="B204" t="str" cm="1">
        <f t="array" ref="B204">_xlfn.IFS(A204&lt;=25,"18-25",A204&lt;=33,"26-33",A204&lt;=41,"34-41",A204&lt;=49,"42-49",A204&gt;49,"50 or above")</f>
        <v>34-41</v>
      </c>
      <c r="C204" t="s">
        <v>62</v>
      </c>
      <c r="D204" t="s">
        <v>63</v>
      </c>
      <c r="E204" t="s">
        <v>109</v>
      </c>
      <c r="F204" t="s">
        <v>87</v>
      </c>
      <c r="G204" t="s">
        <v>66</v>
      </c>
      <c r="H204" t="s">
        <v>66</v>
      </c>
      <c r="I204">
        <v>1</v>
      </c>
      <c r="J204" t="s">
        <v>67</v>
      </c>
      <c r="K204" t="s">
        <v>68</v>
      </c>
      <c r="L204" t="s">
        <v>69</v>
      </c>
      <c r="P204" t="s">
        <v>67</v>
      </c>
      <c r="Q204" t="s">
        <v>98</v>
      </c>
      <c r="R204" t="s">
        <v>71</v>
      </c>
      <c r="S204" t="s">
        <v>72</v>
      </c>
      <c r="T204" t="s">
        <v>112</v>
      </c>
      <c r="U204" t="s">
        <v>74</v>
      </c>
      <c r="Y204" t="s">
        <v>108</v>
      </c>
      <c r="Z204" t="s">
        <v>80</v>
      </c>
      <c r="AA204" t="s">
        <v>78</v>
      </c>
      <c r="AB204" t="s">
        <v>80</v>
      </c>
      <c r="AC204" t="s">
        <v>80</v>
      </c>
      <c r="AD204" t="s">
        <v>80</v>
      </c>
      <c r="AE204" t="s">
        <v>78</v>
      </c>
      <c r="AF204" t="s">
        <v>80</v>
      </c>
      <c r="AG204" t="s">
        <v>80</v>
      </c>
      <c r="AH204" t="s">
        <v>80</v>
      </c>
      <c r="AI204" t="s">
        <v>80</v>
      </c>
      <c r="AJ204">
        <v>4</v>
      </c>
      <c r="AK204">
        <v>4</v>
      </c>
      <c r="AL204">
        <v>4</v>
      </c>
      <c r="AM204" t="s">
        <v>133</v>
      </c>
    </row>
    <row r="205" spans="1:44" x14ac:dyDescent="0.35">
      <c r="A205">
        <v>34</v>
      </c>
      <c r="B205" t="str" cm="1">
        <f t="array" ref="B205">_xlfn.IFS(A205&lt;=25,"18-25",A205&lt;=33,"26-33",A205&lt;=41,"34-41",A205&lt;=49,"42-49",A205&gt;49,"50 or above")</f>
        <v>34-41</v>
      </c>
      <c r="C205" t="s">
        <v>62</v>
      </c>
      <c r="D205" t="s">
        <v>105</v>
      </c>
      <c r="E205" t="s">
        <v>109</v>
      </c>
      <c r="F205" t="s">
        <v>87</v>
      </c>
      <c r="G205" t="s">
        <v>66</v>
      </c>
      <c r="H205" t="s">
        <v>66</v>
      </c>
      <c r="I205">
        <v>1</v>
      </c>
      <c r="J205" t="s">
        <v>67</v>
      </c>
      <c r="K205" t="s">
        <v>68</v>
      </c>
      <c r="L205" t="s">
        <v>69</v>
      </c>
      <c r="P205" t="s">
        <v>67</v>
      </c>
      <c r="Q205" t="s">
        <v>70</v>
      </c>
      <c r="R205" t="s">
        <v>71</v>
      </c>
      <c r="S205" t="s">
        <v>95</v>
      </c>
      <c r="T205" t="s">
        <v>99</v>
      </c>
      <c r="U205" t="s">
        <v>74</v>
      </c>
      <c r="V205" t="s">
        <v>75</v>
      </c>
      <c r="W205" t="s">
        <v>76</v>
      </c>
      <c r="X205" t="s">
        <v>77</v>
      </c>
      <c r="Y205" t="s">
        <v>108</v>
      </c>
      <c r="Z205" t="s">
        <v>81</v>
      </c>
      <c r="AA205" t="s">
        <v>81</v>
      </c>
      <c r="AB205" t="s">
        <v>80</v>
      </c>
      <c r="AC205" t="s">
        <v>81</v>
      </c>
      <c r="AD205" t="s">
        <v>81</v>
      </c>
      <c r="AE205" t="s">
        <v>80</v>
      </c>
      <c r="AF205" t="s">
        <v>81</v>
      </c>
      <c r="AG205" t="s">
        <v>81</v>
      </c>
      <c r="AH205" t="s">
        <v>81</v>
      </c>
      <c r="AI205" t="s">
        <v>81</v>
      </c>
      <c r="AJ205">
        <v>3</v>
      </c>
      <c r="AK205">
        <v>3</v>
      </c>
      <c r="AL205">
        <v>3</v>
      </c>
      <c r="AM205" t="s">
        <v>82</v>
      </c>
    </row>
    <row r="206" spans="1:44" x14ac:dyDescent="0.35">
      <c r="A206">
        <v>29</v>
      </c>
      <c r="B206" t="str" cm="1">
        <f t="array" ref="B206">_xlfn.IFS(A206&lt;=25,"18-25",A206&lt;=33,"26-33",A206&lt;=41,"34-41",A206&lt;=49,"42-49",A206&gt;49,"50 or above")</f>
        <v>26-33</v>
      </c>
      <c r="C206" t="s">
        <v>62</v>
      </c>
      <c r="D206" t="s">
        <v>116</v>
      </c>
      <c r="E206" t="s">
        <v>109</v>
      </c>
      <c r="F206" t="s">
        <v>87</v>
      </c>
      <c r="G206" t="s">
        <v>66</v>
      </c>
      <c r="H206" t="s">
        <v>66</v>
      </c>
      <c r="I206">
        <v>1</v>
      </c>
      <c r="J206" t="s">
        <v>67</v>
      </c>
      <c r="K206" t="s">
        <v>68</v>
      </c>
      <c r="L206" t="s">
        <v>69</v>
      </c>
      <c r="P206" t="s">
        <v>91</v>
      </c>
      <c r="Q206" t="s">
        <v>98</v>
      </c>
      <c r="R206" t="s">
        <v>71</v>
      </c>
      <c r="S206" t="s">
        <v>130</v>
      </c>
      <c r="T206" t="s">
        <v>73</v>
      </c>
      <c r="U206" t="s">
        <v>74</v>
      </c>
      <c r="V206" t="s">
        <v>75</v>
      </c>
      <c r="W206" t="s">
        <v>76</v>
      </c>
      <c r="X206" t="s">
        <v>77</v>
      </c>
      <c r="Y206" t="s">
        <v>108</v>
      </c>
      <c r="Z206" t="s">
        <v>81</v>
      </c>
      <c r="AA206" t="s">
        <v>81</v>
      </c>
      <c r="AB206" t="s">
        <v>81</v>
      </c>
      <c r="AC206" t="s">
        <v>81</v>
      </c>
      <c r="AD206" t="s">
        <v>79</v>
      </c>
      <c r="AE206" t="s">
        <v>81</v>
      </c>
      <c r="AF206" t="s">
        <v>79</v>
      </c>
      <c r="AG206" t="s">
        <v>79</v>
      </c>
      <c r="AH206" t="s">
        <v>79</v>
      </c>
      <c r="AI206" t="s">
        <v>80</v>
      </c>
      <c r="AJ206">
        <v>2</v>
      </c>
      <c r="AK206">
        <v>2</v>
      </c>
      <c r="AL206">
        <v>2</v>
      </c>
      <c r="AM206" t="s">
        <v>115</v>
      </c>
    </row>
    <row r="207" spans="1:44" x14ac:dyDescent="0.35">
      <c r="A207">
        <v>29</v>
      </c>
      <c r="B207" t="str" cm="1">
        <f t="array" ref="B207">_xlfn.IFS(A207&lt;=25,"18-25",A207&lt;=33,"26-33",A207&lt;=41,"34-41",A207&lt;=49,"42-49",A207&gt;49,"50 or above")</f>
        <v>26-33</v>
      </c>
      <c r="C207" t="s">
        <v>62</v>
      </c>
      <c r="D207" t="s">
        <v>105</v>
      </c>
      <c r="E207" t="s">
        <v>86</v>
      </c>
      <c r="F207" t="s">
        <v>65</v>
      </c>
      <c r="G207" t="s">
        <v>66</v>
      </c>
      <c r="H207" t="s">
        <v>66</v>
      </c>
      <c r="I207">
        <v>1</v>
      </c>
      <c r="J207" t="s">
        <v>67</v>
      </c>
      <c r="L207" t="s">
        <v>69</v>
      </c>
      <c r="P207" t="s">
        <v>91</v>
      </c>
      <c r="Q207" t="s">
        <v>70</v>
      </c>
      <c r="R207" t="s">
        <v>110</v>
      </c>
      <c r="S207" t="s">
        <v>95</v>
      </c>
      <c r="T207" t="s">
        <v>140</v>
      </c>
      <c r="U207" t="s">
        <v>74</v>
      </c>
      <c r="V207" t="s">
        <v>75</v>
      </c>
      <c r="W207" t="s">
        <v>76</v>
      </c>
      <c r="X207" t="s">
        <v>77</v>
      </c>
      <c r="Y207" t="s">
        <v>108</v>
      </c>
      <c r="Z207" t="s">
        <v>81</v>
      </c>
      <c r="AA207" t="s">
        <v>80</v>
      </c>
      <c r="AB207" t="s">
        <v>80</v>
      </c>
      <c r="AC207" t="s">
        <v>81</v>
      </c>
      <c r="AD207" t="s">
        <v>81</v>
      </c>
      <c r="AE207" t="s">
        <v>81</v>
      </c>
      <c r="AF207" t="s">
        <v>80</v>
      </c>
      <c r="AG207" t="s">
        <v>81</v>
      </c>
      <c r="AH207" t="s">
        <v>80</v>
      </c>
      <c r="AI207" t="s">
        <v>81</v>
      </c>
      <c r="AJ207">
        <v>1</v>
      </c>
      <c r="AK207">
        <v>3</v>
      </c>
      <c r="AL207">
        <v>3</v>
      </c>
      <c r="AM207" t="s">
        <v>115</v>
      </c>
      <c r="AR207" t="s">
        <v>143</v>
      </c>
    </row>
    <row r="208" spans="1:44" x14ac:dyDescent="0.35">
      <c r="A208">
        <v>53</v>
      </c>
      <c r="B208" t="str" cm="1">
        <f t="array" ref="B208">_xlfn.IFS(A208&lt;=25,"18-25",A208&lt;=33,"26-33",A208&lt;=41,"34-41",A208&lt;=49,"42-49",A208&gt;49,"50 or above")</f>
        <v>50 or above</v>
      </c>
      <c r="C208" t="s">
        <v>89</v>
      </c>
      <c r="D208" t="s">
        <v>120</v>
      </c>
      <c r="E208" t="s">
        <v>109</v>
      </c>
      <c r="F208" t="s">
        <v>87</v>
      </c>
      <c r="G208" t="s">
        <v>66</v>
      </c>
      <c r="H208" t="s">
        <v>66</v>
      </c>
      <c r="I208">
        <v>1</v>
      </c>
      <c r="J208" t="s">
        <v>67</v>
      </c>
      <c r="P208" t="s">
        <v>67</v>
      </c>
      <c r="Q208" t="s">
        <v>98</v>
      </c>
      <c r="R208" t="s">
        <v>92</v>
      </c>
      <c r="S208" t="s">
        <v>72</v>
      </c>
      <c r="T208" t="s">
        <v>99</v>
      </c>
      <c r="U208" t="s">
        <v>74</v>
      </c>
      <c r="W208" t="s">
        <v>76</v>
      </c>
      <c r="Z208" t="s">
        <v>81</v>
      </c>
      <c r="AA208" t="s">
        <v>80</v>
      </c>
      <c r="AB208" t="s">
        <v>81</v>
      </c>
      <c r="AC208" t="s">
        <v>81</v>
      </c>
      <c r="AD208" t="s">
        <v>80</v>
      </c>
      <c r="AE208" t="s">
        <v>81</v>
      </c>
      <c r="AF208" t="s">
        <v>78</v>
      </c>
      <c r="AG208" t="s">
        <v>81</v>
      </c>
      <c r="AH208" t="s">
        <v>81</v>
      </c>
      <c r="AI208" t="s">
        <v>80</v>
      </c>
      <c r="AJ208">
        <v>3</v>
      </c>
      <c r="AK208">
        <v>4</v>
      </c>
      <c r="AL208">
        <v>4</v>
      </c>
      <c r="AM208" t="s">
        <v>128</v>
      </c>
    </row>
    <row r="209" spans="1:39" x14ac:dyDescent="0.35">
      <c r="A209">
        <v>35</v>
      </c>
      <c r="B209" t="str" cm="1">
        <f t="array" ref="B209">_xlfn.IFS(A209&lt;=25,"18-25",A209&lt;=33,"26-33",A209&lt;=41,"34-41",A209&lt;=49,"42-49",A209&gt;49,"50 or above")</f>
        <v>34-41</v>
      </c>
      <c r="C209" t="s">
        <v>89</v>
      </c>
      <c r="D209" t="s">
        <v>63</v>
      </c>
      <c r="E209" t="s">
        <v>86</v>
      </c>
      <c r="F209" t="s">
        <v>90</v>
      </c>
      <c r="G209" t="s">
        <v>66</v>
      </c>
      <c r="H209" t="s">
        <v>66</v>
      </c>
      <c r="I209">
        <v>1</v>
      </c>
      <c r="J209" t="s">
        <v>67</v>
      </c>
      <c r="K209" t="s">
        <v>68</v>
      </c>
      <c r="L209" t="s">
        <v>69</v>
      </c>
      <c r="P209" t="s">
        <v>67</v>
      </c>
      <c r="Q209" t="s">
        <v>117</v>
      </c>
      <c r="R209" t="s">
        <v>92</v>
      </c>
      <c r="S209" t="s">
        <v>95</v>
      </c>
      <c r="T209" t="s">
        <v>99</v>
      </c>
      <c r="V209" t="s">
        <v>96</v>
      </c>
      <c r="W209" t="s">
        <v>76</v>
      </c>
      <c r="X209" t="s">
        <v>77</v>
      </c>
      <c r="Z209" t="s">
        <v>80</v>
      </c>
      <c r="AA209" t="s">
        <v>78</v>
      </c>
      <c r="AB209" t="s">
        <v>80</v>
      </c>
      <c r="AC209" t="s">
        <v>80</v>
      </c>
      <c r="AD209" t="s">
        <v>80</v>
      </c>
      <c r="AE209" t="s">
        <v>80</v>
      </c>
      <c r="AF209" t="s">
        <v>80</v>
      </c>
      <c r="AG209" t="s">
        <v>78</v>
      </c>
      <c r="AH209" t="s">
        <v>81</v>
      </c>
      <c r="AI209" t="s">
        <v>78</v>
      </c>
      <c r="AJ209">
        <v>3</v>
      </c>
      <c r="AK209">
        <v>4</v>
      </c>
      <c r="AL209">
        <v>5</v>
      </c>
      <c r="AM209" t="s">
        <v>104</v>
      </c>
    </row>
    <row r="210" spans="1:39" x14ac:dyDescent="0.35">
      <c r="A210">
        <v>50</v>
      </c>
      <c r="B210" t="str" cm="1">
        <f t="array" ref="B210">_xlfn.IFS(A210&lt;=25,"18-25",A210&lt;=33,"26-33",A210&lt;=41,"34-41",A210&lt;=49,"42-49",A210&gt;49,"50 or above")</f>
        <v>50 or above</v>
      </c>
      <c r="C210" t="s">
        <v>89</v>
      </c>
      <c r="D210" t="s">
        <v>105</v>
      </c>
      <c r="E210" t="s">
        <v>109</v>
      </c>
      <c r="F210" t="s">
        <v>90</v>
      </c>
      <c r="G210" t="s">
        <v>66</v>
      </c>
      <c r="H210" t="s">
        <v>66</v>
      </c>
      <c r="I210">
        <v>1</v>
      </c>
      <c r="J210" t="s">
        <v>67</v>
      </c>
      <c r="L210" t="s">
        <v>69</v>
      </c>
      <c r="P210" t="s">
        <v>91</v>
      </c>
      <c r="Q210" t="s">
        <v>70</v>
      </c>
      <c r="R210" t="s">
        <v>92</v>
      </c>
      <c r="S210" t="s">
        <v>72</v>
      </c>
      <c r="T210" t="s">
        <v>73</v>
      </c>
      <c r="V210" t="s">
        <v>96</v>
      </c>
      <c r="W210" t="s">
        <v>76</v>
      </c>
      <c r="Z210" t="s">
        <v>78</v>
      </c>
      <c r="AA210" t="s">
        <v>78</v>
      </c>
      <c r="AB210" t="s">
        <v>79</v>
      </c>
      <c r="AC210" t="s">
        <v>81</v>
      </c>
      <c r="AD210" t="s">
        <v>79</v>
      </c>
      <c r="AE210" t="s">
        <v>80</v>
      </c>
      <c r="AF210" t="s">
        <v>80</v>
      </c>
      <c r="AG210" t="s">
        <v>78</v>
      </c>
      <c r="AH210" t="s">
        <v>78</v>
      </c>
      <c r="AI210" t="s">
        <v>78</v>
      </c>
      <c r="AJ210">
        <v>5</v>
      </c>
      <c r="AK210">
        <v>3</v>
      </c>
      <c r="AL210">
        <v>5</v>
      </c>
      <c r="AM210" t="s">
        <v>104</v>
      </c>
    </row>
    <row r="211" spans="1:39" x14ac:dyDescent="0.35">
      <c r="A211">
        <v>26</v>
      </c>
      <c r="B211" t="str" cm="1">
        <f t="array" ref="B211">_xlfn.IFS(A211&lt;=25,"18-25",A211&lt;=33,"26-33",A211&lt;=41,"34-41",A211&lt;=49,"42-49",A211&gt;49,"50 or above")</f>
        <v>26-33</v>
      </c>
      <c r="C211" t="s">
        <v>89</v>
      </c>
      <c r="D211" t="s">
        <v>105</v>
      </c>
      <c r="E211" t="s">
        <v>121</v>
      </c>
      <c r="F211" t="s">
        <v>65</v>
      </c>
      <c r="G211" t="s">
        <v>66</v>
      </c>
      <c r="H211" t="s">
        <v>66</v>
      </c>
      <c r="I211">
        <v>1</v>
      </c>
      <c r="J211" t="s">
        <v>67</v>
      </c>
      <c r="K211" t="s">
        <v>68</v>
      </c>
      <c r="L211" t="s">
        <v>69</v>
      </c>
      <c r="P211" t="s">
        <v>67</v>
      </c>
      <c r="Q211" t="s">
        <v>70</v>
      </c>
      <c r="R211" t="s">
        <v>92</v>
      </c>
      <c r="S211" t="s">
        <v>72</v>
      </c>
      <c r="T211" t="s">
        <v>99</v>
      </c>
      <c r="U211" t="s">
        <v>74</v>
      </c>
      <c r="V211" t="s">
        <v>75</v>
      </c>
      <c r="W211" t="s">
        <v>76</v>
      </c>
      <c r="X211" t="s">
        <v>77</v>
      </c>
      <c r="Z211" t="s">
        <v>80</v>
      </c>
      <c r="AA211" t="s">
        <v>81</v>
      </c>
      <c r="AB211" t="s">
        <v>78</v>
      </c>
      <c r="AC211" t="s">
        <v>80</v>
      </c>
      <c r="AD211" t="s">
        <v>80</v>
      </c>
      <c r="AE211" t="s">
        <v>80</v>
      </c>
      <c r="AF211" t="s">
        <v>80</v>
      </c>
      <c r="AG211" t="s">
        <v>78</v>
      </c>
      <c r="AH211" t="s">
        <v>80</v>
      </c>
      <c r="AI211" t="s">
        <v>78</v>
      </c>
      <c r="AJ211">
        <v>5</v>
      </c>
      <c r="AK211">
        <v>3</v>
      </c>
      <c r="AL211">
        <v>4</v>
      </c>
      <c r="AM211" t="s">
        <v>82</v>
      </c>
    </row>
    <row r="212" spans="1:39" x14ac:dyDescent="0.35">
      <c r="A212">
        <v>30</v>
      </c>
      <c r="B212" t="str" cm="1">
        <f t="array" ref="B212">_xlfn.IFS(A212&lt;=25,"18-25",A212&lt;=33,"26-33",A212&lt;=41,"34-41",A212&lt;=49,"42-49",A212&gt;49,"50 or above")</f>
        <v>26-33</v>
      </c>
      <c r="C212" t="s">
        <v>89</v>
      </c>
      <c r="D212" t="s">
        <v>63</v>
      </c>
      <c r="E212" t="s">
        <v>86</v>
      </c>
      <c r="F212" t="s">
        <v>87</v>
      </c>
      <c r="G212" t="s">
        <v>66</v>
      </c>
      <c r="H212" t="s">
        <v>66</v>
      </c>
      <c r="I212">
        <v>1</v>
      </c>
      <c r="J212" t="s">
        <v>67</v>
      </c>
      <c r="P212" t="s">
        <v>67</v>
      </c>
      <c r="Q212" t="s">
        <v>70</v>
      </c>
      <c r="R212" t="s">
        <v>92</v>
      </c>
      <c r="S212" t="s">
        <v>72</v>
      </c>
      <c r="T212" t="s">
        <v>73</v>
      </c>
      <c r="U212" t="s">
        <v>74</v>
      </c>
      <c r="Z212" t="s">
        <v>81</v>
      </c>
      <c r="AA212" t="s">
        <v>80</v>
      </c>
      <c r="AB212" t="s">
        <v>80</v>
      </c>
      <c r="AC212" t="s">
        <v>79</v>
      </c>
      <c r="AD212" t="s">
        <v>78</v>
      </c>
      <c r="AE212" t="s">
        <v>79</v>
      </c>
      <c r="AF212" t="s">
        <v>80</v>
      </c>
      <c r="AG212" t="s">
        <v>80</v>
      </c>
      <c r="AH212" t="s">
        <v>81</v>
      </c>
      <c r="AI212" t="s">
        <v>80</v>
      </c>
      <c r="AJ212">
        <v>3</v>
      </c>
      <c r="AK212">
        <v>4</v>
      </c>
      <c r="AL212">
        <v>4</v>
      </c>
      <c r="AM212" t="s">
        <v>115</v>
      </c>
    </row>
    <row r="213" spans="1:39" x14ac:dyDescent="0.35">
      <c r="A213">
        <v>29</v>
      </c>
      <c r="B213" t="str" cm="1">
        <f t="array" ref="B213">_xlfn.IFS(A213&lt;=25,"18-25",A213&lt;=33,"26-33",A213&lt;=41,"34-41",A213&lt;=49,"42-49",A213&gt;49,"50 or above")</f>
        <v>26-33</v>
      </c>
      <c r="C213" t="s">
        <v>89</v>
      </c>
      <c r="D213" t="s">
        <v>63</v>
      </c>
      <c r="E213" t="s">
        <v>109</v>
      </c>
      <c r="F213" t="s">
        <v>127</v>
      </c>
      <c r="G213" t="s">
        <v>66</v>
      </c>
      <c r="H213" t="s">
        <v>66</v>
      </c>
      <c r="I213">
        <v>1</v>
      </c>
      <c r="J213" t="s">
        <v>67</v>
      </c>
      <c r="K213" t="s">
        <v>68</v>
      </c>
      <c r="L213" t="s">
        <v>69</v>
      </c>
      <c r="P213" t="s">
        <v>93</v>
      </c>
      <c r="Q213" t="s">
        <v>103</v>
      </c>
      <c r="R213" t="s">
        <v>94</v>
      </c>
      <c r="S213" t="s">
        <v>72</v>
      </c>
      <c r="T213" t="s">
        <v>99</v>
      </c>
      <c r="V213" t="s">
        <v>96</v>
      </c>
      <c r="W213" t="s">
        <v>76</v>
      </c>
      <c r="Z213" t="s">
        <v>80</v>
      </c>
      <c r="AA213" t="s">
        <v>81</v>
      </c>
      <c r="AB213" t="s">
        <v>80</v>
      </c>
      <c r="AC213" t="s">
        <v>78</v>
      </c>
      <c r="AD213" t="s">
        <v>81</v>
      </c>
      <c r="AE213" t="s">
        <v>78</v>
      </c>
      <c r="AF213" t="s">
        <v>80</v>
      </c>
      <c r="AG213" t="s">
        <v>78</v>
      </c>
      <c r="AH213" t="s">
        <v>80</v>
      </c>
      <c r="AI213" t="s">
        <v>81</v>
      </c>
      <c r="AJ213">
        <v>5</v>
      </c>
      <c r="AK213">
        <v>4</v>
      </c>
      <c r="AL213">
        <v>5</v>
      </c>
      <c r="AM213" t="s">
        <v>104</v>
      </c>
    </row>
    <row r="214" spans="1:39" x14ac:dyDescent="0.35">
      <c r="A214">
        <v>29</v>
      </c>
      <c r="B214" t="str" cm="1">
        <f t="array" ref="B214">_xlfn.IFS(A214&lt;=25,"18-25",A214&lt;=33,"26-33",A214&lt;=41,"34-41",A214&lt;=49,"42-49",A214&gt;49,"50 or above")</f>
        <v>26-33</v>
      </c>
      <c r="C214" t="s">
        <v>89</v>
      </c>
      <c r="D214" t="s">
        <v>63</v>
      </c>
      <c r="E214" t="s">
        <v>86</v>
      </c>
      <c r="F214" t="s">
        <v>65</v>
      </c>
      <c r="G214" t="s">
        <v>66</v>
      </c>
      <c r="H214" t="s">
        <v>66</v>
      </c>
      <c r="I214">
        <v>1</v>
      </c>
      <c r="J214" t="s">
        <v>67</v>
      </c>
      <c r="K214" t="s">
        <v>68</v>
      </c>
      <c r="L214" t="s">
        <v>69</v>
      </c>
      <c r="P214" t="s">
        <v>93</v>
      </c>
      <c r="Q214" t="s">
        <v>70</v>
      </c>
      <c r="R214" t="s">
        <v>92</v>
      </c>
      <c r="S214" t="s">
        <v>72</v>
      </c>
      <c r="T214" t="s">
        <v>73</v>
      </c>
      <c r="U214" t="s">
        <v>74</v>
      </c>
      <c r="Y214" t="s">
        <v>108</v>
      </c>
      <c r="Z214" t="s">
        <v>78</v>
      </c>
      <c r="AA214" t="s">
        <v>80</v>
      </c>
      <c r="AB214" t="s">
        <v>79</v>
      </c>
      <c r="AC214" t="s">
        <v>80</v>
      </c>
      <c r="AD214" t="s">
        <v>81</v>
      </c>
      <c r="AE214" t="s">
        <v>80</v>
      </c>
      <c r="AF214" t="s">
        <v>79</v>
      </c>
      <c r="AG214" t="s">
        <v>80</v>
      </c>
      <c r="AH214" t="s">
        <v>81</v>
      </c>
      <c r="AI214" t="s">
        <v>78</v>
      </c>
      <c r="AJ214">
        <v>5</v>
      </c>
      <c r="AK214">
        <v>5</v>
      </c>
      <c r="AL214">
        <v>4</v>
      </c>
      <c r="AM214" t="s">
        <v>97</v>
      </c>
    </row>
    <row r="215" spans="1:39" x14ac:dyDescent="0.35">
      <c r="A215">
        <v>31</v>
      </c>
      <c r="B215" t="str" cm="1">
        <f t="array" ref="B215">_xlfn.IFS(A215&lt;=25,"18-25",A215&lt;=33,"26-33",A215&lt;=41,"34-41",A215&lt;=49,"42-49",A215&gt;49,"50 or above")</f>
        <v>26-33</v>
      </c>
      <c r="C215" t="s">
        <v>89</v>
      </c>
      <c r="D215" t="s">
        <v>116</v>
      </c>
      <c r="E215" t="s">
        <v>86</v>
      </c>
      <c r="F215" t="s">
        <v>102</v>
      </c>
      <c r="G215" t="s">
        <v>66</v>
      </c>
      <c r="H215" t="s">
        <v>66</v>
      </c>
      <c r="I215">
        <v>1</v>
      </c>
      <c r="J215" t="s">
        <v>67</v>
      </c>
      <c r="L215" t="s">
        <v>69</v>
      </c>
      <c r="P215" t="s">
        <v>67</v>
      </c>
      <c r="Q215" t="s">
        <v>70</v>
      </c>
      <c r="R215" t="s">
        <v>92</v>
      </c>
      <c r="S215" t="s">
        <v>72</v>
      </c>
      <c r="T215" t="s">
        <v>73</v>
      </c>
      <c r="U215" t="s">
        <v>74</v>
      </c>
      <c r="V215" t="s">
        <v>75</v>
      </c>
      <c r="W215" t="s">
        <v>76</v>
      </c>
      <c r="Z215" t="s">
        <v>78</v>
      </c>
      <c r="AA215" t="s">
        <v>81</v>
      </c>
      <c r="AB215" t="s">
        <v>81</v>
      </c>
      <c r="AC215" t="s">
        <v>81</v>
      </c>
      <c r="AD215" t="s">
        <v>81</v>
      </c>
      <c r="AE215" t="s">
        <v>80</v>
      </c>
      <c r="AF215" t="s">
        <v>78</v>
      </c>
      <c r="AG215" t="s">
        <v>80</v>
      </c>
      <c r="AH215" t="s">
        <v>81</v>
      </c>
      <c r="AI215" t="s">
        <v>80</v>
      </c>
      <c r="AJ215">
        <v>3</v>
      </c>
      <c r="AK215">
        <v>4</v>
      </c>
      <c r="AL215">
        <v>3</v>
      </c>
      <c r="AM215" t="s">
        <v>115</v>
      </c>
    </row>
    <row r="216" spans="1:39" x14ac:dyDescent="0.35">
      <c r="A216">
        <v>20</v>
      </c>
      <c r="B216" t="str" cm="1">
        <f t="array" ref="B216">_xlfn.IFS(A216&lt;=25,"18-25",A216&lt;=33,"26-33",A216&lt;=41,"34-41",A216&lt;=49,"42-49",A216&gt;49,"50 or above")</f>
        <v>18-25</v>
      </c>
      <c r="C216" t="s">
        <v>89</v>
      </c>
      <c r="D216" t="s">
        <v>63</v>
      </c>
      <c r="E216" t="s">
        <v>64</v>
      </c>
      <c r="F216" t="s">
        <v>87</v>
      </c>
      <c r="G216" t="s">
        <v>66</v>
      </c>
      <c r="H216" t="s">
        <v>66</v>
      </c>
      <c r="I216">
        <v>1</v>
      </c>
      <c r="J216" t="s">
        <v>67</v>
      </c>
      <c r="L216" t="s">
        <v>69</v>
      </c>
      <c r="P216" t="s">
        <v>91</v>
      </c>
      <c r="Q216" t="s">
        <v>70</v>
      </c>
      <c r="R216" t="s">
        <v>71</v>
      </c>
      <c r="S216" t="s">
        <v>95</v>
      </c>
      <c r="T216" t="s">
        <v>73</v>
      </c>
      <c r="U216" t="s">
        <v>74</v>
      </c>
      <c r="V216" t="s">
        <v>75</v>
      </c>
      <c r="W216" t="s">
        <v>76</v>
      </c>
      <c r="X216" t="s">
        <v>77</v>
      </c>
      <c r="Z216" t="s">
        <v>80</v>
      </c>
      <c r="AA216" t="s">
        <v>80</v>
      </c>
      <c r="AB216" t="s">
        <v>81</v>
      </c>
      <c r="AC216" t="s">
        <v>78</v>
      </c>
      <c r="AD216" t="s">
        <v>81</v>
      </c>
      <c r="AE216" t="s">
        <v>81</v>
      </c>
      <c r="AF216" t="s">
        <v>79</v>
      </c>
      <c r="AG216" t="s">
        <v>78</v>
      </c>
      <c r="AH216" t="s">
        <v>78</v>
      </c>
      <c r="AI216" t="s">
        <v>80</v>
      </c>
      <c r="AJ216">
        <v>3</v>
      </c>
      <c r="AK216">
        <v>5</v>
      </c>
      <c r="AL216">
        <v>3</v>
      </c>
      <c r="AM216" t="s">
        <v>115</v>
      </c>
    </row>
    <row r="217" spans="1:39" x14ac:dyDescent="0.35">
      <c r="A217">
        <v>45</v>
      </c>
      <c r="B217" t="str" cm="1">
        <f t="array" ref="B217">_xlfn.IFS(A217&lt;=25,"18-25",A217&lt;=33,"26-33",A217&lt;=41,"34-41",A217&lt;=49,"42-49",A217&gt;49,"50 or above")</f>
        <v>42-49</v>
      </c>
      <c r="C217" t="s">
        <v>89</v>
      </c>
      <c r="D217" t="s">
        <v>116</v>
      </c>
      <c r="E217" t="s">
        <v>109</v>
      </c>
      <c r="F217" t="s">
        <v>87</v>
      </c>
      <c r="G217" t="s">
        <v>66</v>
      </c>
      <c r="H217" t="s">
        <v>66</v>
      </c>
      <c r="I217">
        <v>1</v>
      </c>
      <c r="J217" t="s">
        <v>67</v>
      </c>
      <c r="K217" t="s">
        <v>68</v>
      </c>
      <c r="L217" t="s">
        <v>69</v>
      </c>
      <c r="P217" t="s">
        <v>67</v>
      </c>
      <c r="Q217" t="s">
        <v>70</v>
      </c>
      <c r="R217" t="s">
        <v>92</v>
      </c>
      <c r="S217" t="s">
        <v>95</v>
      </c>
      <c r="T217" t="s">
        <v>73</v>
      </c>
      <c r="V217" t="s">
        <v>96</v>
      </c>
      <c r="Z217" t="s">
        <v>81</v>
      </c>
      <c r="AA217" t="s">
        <v>80</v>
      </c>
      <c r="AB217" t="s">
        <v>81</v>
      </c>
      <c r="AC217" t="s">
        <v>78</v>
      </c>
      <c r="AD217" t="s">
        <v>78</v>
      </c>
      <c r="AE217" t="s">
        <v>80</v>
      </c>
      <c r="AF217" t="s">
        <v>80</v>
      </c>
      <c r="AG217" t="s">
        <v>81</v>
      </c>
      <c r="AH217" t="s">
        <v>78</v>
      </c>
      <c r="AI217" t="s">
        <v>78</v>
      </c>
      <c r="AJ217">
        <v>3</v>
      </c>
      <c r="AK217">
        <v>5</v>
      </c>
      <c r="AL217">
        <v>5</v>
      </c>
      <c r="AM217" t="s">
        <v>104</v>
      </c>
    </row>
    <row r="218" spans="1:39" x14ac:dyDescent="0.35">
      <c r="A218">
        <v>35</v>
      </c>
      <c r="B218" t="str" cm="1">
        <f t="array" ref="B218">_xlfn.IFS(A218&lt;=25,"18-25",A218&lt;=33,"26-33",A218&lt;=41,"34-41",A218&lt;=49,"42-49",A218&gt;49,"50 or above")</f>
        <v>34-41</v>
      </c>
      <c r="C218" t="s">
        <v>89</v>
      </c>
      <c r="D218" t="s">
        <v>63</v>
      </c>
      <c r="E218" t="s">
        <v>86</v>
      </c>
      <c r="F218" t="s">
        <v>87</v>
      </c>
      <c r="G218" t="s">
        <v>66</v>
      </c>
      <c r="H218" t="s">
        <v>66</v>
      </c>
      <c r="I218">
        <v>1</v>
      </c>
      <c r="J218" t="s">
        <v>67</v>
      </c>
      <c r="P218" t="s">
        <v>67</v>
      </c>
      <c r="Q218" t="s">
        <v>70</v>
      </c>
      <c r="R218" t="s">
        <v>92</v>
      </c>
      <c r="S218" t="s">
        <v>72</v>
      </c>
      <c r="T218" t="s">
        <v>73</v>
      </c>
      <c r="U218" t="s">
        <v>74</v>
      </c>
      <c r="V218" t="s">
        <v>75</v>
      </c>
      <c r="X218" t="s">
        <v>77</v>
      </c>
      <c r="Z218" t="s">
        <v>80</v>
      </c>
      <c r="AA218" t="s">
        <v>81</v>
      </c>
      <c r="AB218" t="s">
        <v>81</v>
      </c>
      <c r="AC218" t="s">
        <v>81</v>
      </c>
      <c r="AD218" t="s">
        <v>81</v>
      </c>
      <c r="AE218" t="s">
        <v>80</v>
      </c>
      <c r="AF218" t="s">
        <v>80</v>
      </c>
      <c r="AG218" t="s">
        <v>80</v>
      </c>
      <c r="AH218" t="s">
        <v>78</v>
      </c>
      <c r="AI218" t="s">
        <v>80</v>
      </c>
      <c r="AJ218">
        <v>4</v>
      </c>
      <c r="AK218">
        <v>5</v>
      </c>
      <c r="AL218">
        <v>5</v>
      </c>
      <c r="AM218" t="s">
        <v>97</v>
      </c>
    </row>
    <row r="219" spans="1:39" x14ac:dyDescent="0.35">
      <c r="A219">
        <v>38</v>
      </c>
      <c r="B219" t="str" cm="1">
        <f t="array" ref="B219">_xlfn.IFS(A219&lt;=25,"18-25",A219&lt;=33,"26-33",A219&lt;=41,"34-41",A219&lt;=49,"42-49",A219&gt;49,"50 or above")</f>
        <v>34-41</v>
      </c>
      <c r="C219" t="s">
        <v>89</v>
      </c>
      <c r="D219" t="s">
        <v>105</v>
      </c>
      <c r="E219" t="s">
        <v>121</v>
      </c>
      <c r="F219" t="s">
        <v>65</v>
      </c>
      <c r="G219" t="s">
        <v>66</v>
      </c>
      <c r="H219" t="s">
        <v>66</v>
      </c>
      <c r="I219">
        <v>1</v>
      </c>
      <c r="J219" t="s">
        <v>67</v>
      </c>
      <c r="K219" t="s">
        <v>68</v>
      </c>
      <c r="L219" t="s">
        <v>69</v>
      </c>
      <c r="P219" t="s">
        <v>67</v>
      </c>
      <c r="Q219" t="s">
        <v>70</v>
      </c>
      <c r="R219" t="s">
        <v>71</v>
      </c>
      <c r="S219" t="s">
        <v>72</v>
      </c>
      <c r="T219" t="s">
        <v>140</v>
      </c>
      <c r="U219" t="s">
        <v>74</v>
      </c>
      <c r="V219" t="s">
        <v>75</v>
      </c>
      <c r="W219" t="s">
        <v>76</v>
      </c>
      <c r="Y219" t="s">
        <v>108</v>
      </c>
      <c r="Z219" t="s">
        <v>80</v>
      </c>
      <c r="AA219" t="s">
        <v>81</v>
      </c>
      <c r="AB219" t="s">
        <v>80</v>
      </c>
      <c r="AC219" t="s">
        <v>80</v>
      </c>
      <c r="AD219" t="s">
        <v>81</v>
      </c>
      <c r="AE219" t="s">
        <v>78</v>
      </c>
      <c r="AF219" t="s">
        <v>80</v>
      </c>
      <c r="AG219" t="s">
        <v>80</v>
      </c>
      <c r="AH219" t="s">
        <v>81</v>
      </c>
      <c r="AI219" t="s">
        <v>81</v>
      </c>
      <c r="AJ219">
        <v>3</v>
      </c>
      <c r="AK219">
        <v>4</v>
      </c>
      <c r="AL219">
        <v>4</v>
      </c>
      <c r="AM219" t="s">
        <v>82</v>
      </c>
    </row>
    <row r="220" spans="1:39" x14ac:dyDescent="0.35">
      <c r="A220">
        <v>40</v>
      </c>
      <c r="B220" t="str" cm="1">
        <f t="array" ref="B220">_xlfn.IFS(A220&lt;=25,"18-25",A220&lt;=33,"26-33",A220&lt;=41,"34-41",A220&lt;=49,"42-49",A220&gt;49,"50 or above")</f>
        <v>34-41</v>
      </c>
      <c r="C220" t="s">
        <v>89</v>
      </c>
      <c r="D220" t="s">
        <v>116</v>
      </c>
      <c r="E220" t="s">
        <v>109</v>
      </c>
      <c r="F220" t="s">
        <v>65</v>
      </c>
      <c r="G220" t="s">
        <v>66</v>
      </c>
      <c r="H220" t="s">
        <v>66</v>
      </c>
      <c r="I220">
        <v>1</v>
      </c>
      <c r="J220" t="s">
        <v>67</v>
      </c>
      <c r="L220" t="s">
        <v>69</v>
      </c>
      <c r="P220" t="s">
        <v>67</v>
      </c>
      <c r="Q220" t="s">
        <v>70</v>
      </c>
      <c r="R220" t="s">
        <v>92</v>
      </c>
      <c r="S220" t="s">
        <v>95</v>
      </c>
      <c r="T220" t="s">
        <v>73</v>
      </c>
      <c r="V220" t="s">
        <v>96</v>
      </c>
      <c r="Z220" t="s">
        <v>78</v>
      </c>
      <c r="AA220" t="s">
        <v>78</v>
      </c>
      <c r="AB220" t="s">
        <v>81</v>
      </c>
      <c r="AC220" t="s">
        <v>78</v>
      </c>
      <c r="AD220" t="s">
        <v>78</v>
      </c>
      <c r="AE220" t="s">
        <v>80</v>
      </c>
      <c r="AF220" t="s">
        <v>80</v>
      </c>
      <c r="AG220" t="s">
        <v>80</v>
      </c>
      <c r="AH220" t="s">
        <v>80</v>
      </c>
      <c r="AI220" t="s">
        <v>80</v>
      </c>
      <c r="AJ220">
        <v>5</v>
      </c>
      <c r="AK220">
        <v>4</v>
      </c>
      <c r="AL220">
        <v>4</v>
      </c>
      <c r="AM220" t="s">
        <v>104</v>
      </c>
    </row>
    <row r="221" spans="1:39" x14ac:dyDescent="0.35">
      <c r="A221">
        <v>27</v>
      </c>
      <c r="B221" t="str" cm="1">
        <f t="array" ref="B221">_xlfn.IFS(A221&lt;=25,"18-25",A221&lt;=33,"26-33",A221&lt;=41,"34-41",A221&lt;=49,"42-49",A221&gt;49,"50 or above")</f>
        <v>26-33</v>
      </c>
      <c r="C221" t="s">
        <v>89</v>
      </c>
      <c r="D221" t="s">
        <v>105</v>
      </c>
      <c r="E221" t="s">
        <v>64</v>
      </c>
      <c r="F221" t="s">
        <v>87</v>
      </c>
      <c r="G221" t="s">
        <v>66</v>
      </c>
      <c r="H221" t="s">
        <v>66</v>
      </c>
      <c r="I221">
        <v>1</v>
      </c>
      <c r="J221" t="s">
        <v>67</v>
      </c>
      <c r="K221" t="s">
        <v>68</v>
      </c>
      <c r="L221" t="s">
        <v>69</v>
      </c>
      <c r="P221" t="s">
        <v>91</v>
      </c>
      <c r="Q221" t="s">
        <v>70</v>
      </c>
      <c r="R221" t="s">
        <v>94</v>
      </c>
      <c r="S221" t="s">
        <v>72</v>
      </c>
      <c r="T221" t="s">
        <v>73</v>
      </c>
      <c r="U221" t="s">
        <v>74</v>
      </c>
      <c r="V221" t="s">
        <v>75</v>
      </c>
      <c r="W221" t="s">
        <v>76</v>
      </c>
      <c r="Z221" t="s">
        <v>80</v>
      </c>
      <c r="AA221" t="s">
        <v>80</v>
      </c>
      <c r="AB221" t="s">
        <v>80</v>
      </c>
      <c r="AC221" t="s">
        <v>80</v>
      </c>
      <c r="AD221" t="s">
        <v>80</v>
      </c>
      <c r="AE221" t="s">
        <v>78</v>
      </c>
      <c r="AF221" t="s">
        <v>80</v>
      </c>
      <c r="AG221" t="s">
        <v>80</v>
      </c>
      <c r="AH221" t="s">
        <v>78</v>
      </c>
      <c r="AI221" t="s">
        <v>78</v>
      </c>
      <c r="AJ221">
        <v>5</v>
      </c>
      <c r="AK221">
        <v>4</v>
      </c>
      <c r="AL221">
        <v>5</v>
      </c>
      <c r="AM221" t="s">
        <v>82</v>
      </c>
    </row>
    <row r="222" spans="1:39" x14ac:dyDescent="0.35">
      <c r="A222">
        <v>30</v>
      </c>
      <c r="B222" t="str" cm="1">
        <f t="array" ref="B222">_xlfn.IFS(A222&lt;=25,"18-25",A222&lt;=33,"26-33",A222&lt;=41,"34-41",A222&lt;=49,"42-49",A222&gt;49,"50 or above")</f>
        <v>26-33</v>
      </c>
      <c r="C222" t="s">
        <v>89</v>
      </c>
      <c r="D222" t="s">
        <v>105</v>
      </c>
      <c r="E222" t="s">
        <v>109</v>
      </c>
      <c r="F222" t="s">
        <v>65</v>
      </c>
      <c r="G222" t="s">
        <v>66</v>
      </c>
      <c r="H222" t="s">
        <v>66</v>
      </c>
      <c r="I222">
        <v>1</v>
      </c>
      <c r="J222" t="s">
        <v>67</v>
      </c>
      <c r="O222" t="s">
        <v>123</v>
      </c>
      <c r="P222" t="s">
        <v>67</v>
      </c>
      <c r="Q222" t="s">
        <v>103</v>
      </c>
      <c r="R222" t="s">
        <v>92</v>
      </c>
      <c r="S222" t="s">
        <v>95</v>
      </c>
      <c r="T222" t="s">
        <v>73</v>
      </c>
      <c r="V222" t="s">
        <v>96</v>
      </c>
      <c r="Z222" t="s">
        <v>80</v>
      </c>
      <c r="AA222" t="s">
        <v>78</v>
      </c>
      <c r="AB222" t="s">
        <v>80</v>
      </c>
      <c r="AC222" t="s">
        <v>81</v>
      </c>
      <c r="AD222" t="s">
        <v>81</v>
      </c>
      <c r="AE222" t="s">
        <v>80</v>
      </c>
      <c r="AF222" t="s">
        <v>80</v>
      </c>
      <c r="AG222" t="s">
        <v>78</v>
      </c>
      <c r="AH222" t="s">
        <v>81</v>
      </c>
      <c r="AI222" t="s">
        <v>81</v>
      </c>
      <c r="AJ222">
        <v>3</v>
      </c>
      <c r="AK222">
        <v>5</v>
      </c>
      <c r="AL222">
        <v>4</v>
      </c>
      <c r="AM222" t="s">
        <v>82</v>
      </c>
    </row>
    <row r="223" spans="1:39" x14ac:dyDescent="0.35">
      <c r="A223">
        <v>50</v>
      </c>
      <c r="B223" t="str" cm="1">
        <f t="array" ref="B223">_xlfn.IFS(A223&lt;=25,"18-25",A223&lt;=33,"26-33",A223&lt;=41,"34-41",A223&lt;=49,"42-49",A223&gt;49,"50 or above")</f>
        <v>50 or above</v>
      </c>
      <c r="C223" t="s">
        <v>89</v>
      </c>
      <c r="D223" t="s">
        <v>105</v>
      </c>
      <c r="E223" t="s">
        <v>86</v>
      </c>
      <c r="F223" t="s">
        <v>102</v>
      </c>
      <c r="G223" t="s">
        <v>66</v>
      </c>
      <c r="H223" t="s">
        <v>66</v>
      </c>
      <c r="I223">
        <v>1</v>
      </c>
      <c r="J223" t="s">
        <v>67</v>
      </c>
      <c r="K223" t="s">
        <v>68</v>
      </c>
      <c r="L223" t="s">
        <v>69</v>
      </c>
      <c r="P223" t="s">
        <v>67</v>
      </c>
      <c r="Q223" t="s">
        <v>103</v>
      </c>
      <c r="R223" t="s">
        <v>94</v>
      </c>
      <c r="S223" t="s">
        <v>72</v>
      </c>
      <c r="T223" t="s">
        <v>99</v>
      </c>
      <c r="U223" t="s">
        <v>74</v>
      </c>
      <c r="V223" t="s">
        <v>75</v>
      </c>
      <c r="W223" t="s">
        <v>76</v>
      </c>
      <c r="Z223" t="s">
        <v>78</v>
      </c>
      <c r="AA223" t="s">
        <v>80</v>
      </c>
      <c r="AB223" t="s">
        <v>81</v>
      </c>
      <c r="AC223" t="s">
        <v>80</v>
      </c>
      <c r="AD223" t="s">
        <v>81</v>
      </c>
      <c r="AE223" t="s">
        <v>80</v>
      </c>
      <c r="AF223" t="s">
        <v>78</v>
      </c>
      <c r="AG223" t="s">
        <v>78</v>
      </c>
      <c r="AH223" t="s">
        <v>80</v>
      </c>
      <c r="AI223" t="s">
        <v>81</v>
      </c>
      <c r="AJ223">
        <v>3</v>
      </c>
      <c r="AK223">
        <v>4</v>
      </c>
      <c r="AL223">
        <v>5</v>
      </c>
      <c r="AM223" t="s">
        <v>82</v>
      </c>
    </row>
    <row r="224" spans="1:39" x14ac:dyDescent="0.35">
      <c r="A224">
        <v>35</v>
      </c>
      <c r="B224" t="str" cm="1">
        <f t="array" ref="B224">_xlfn.IFS(A224&lt;=25,"18-25",A224&lt;=33,"26-33",A224&lt;=41,"34-41",A224&lt;=49,"42-49",A224&gt;49,"50 or above")</f>
        <v>34-41</v>
      </c>
      <c r="C224" t="s">
        <v>89</v>
      </c>
      <c r="D224" t="s">
        <v>63</v>
      </c>
      <c r="E224" t="s">
        <v>86</v>
      </c>
      <c r="F224" t="s">
        <v>102</v>
      </c>
      <c r="G224" t="s">
        <v>66</v>
      </c>
      <c r="H224" t="s">
        <v>66</v>
      </c>
      <c r="I224">
        <v>1</v>
      </c>
      <c r="J224" t="s">
        <v>67</v>
      </c>
      <c r="K224" t="s">
        <v>68</v>
      </c>
      <c r="L224" t="s">
        <v>69</v>
      </c>
      <c r="P224" t="s">
        <v>67</v>
      </c>
      <c r="Q224" t="s">
        <v>98</v>
      </c>
      <c r="R224" t="s">
        <v>110</v>
      </c>
      <c r="S224" t="s">
        <v>72</v>
      </c>
      <c r="T224" t="s">
        <v>73</v>
      </c>
      <c r="V224" t="s">
        <v>96</v>
      </c>
      <c r="W224" t="s">
        <v>76</v>
      </c>
      <c r="X224" t="s">
        <v>77</v>
      </c>
      <c r="Z224" t="s">
        <v>78</v>
      </c>
      <c r="AA224" t="s">
        <v>80</v>
      </c>
      <c r="AB224" t="s">
        <v>81</v>
      </c>
      <c r="AC224" t="s">
        <v>78</v>
      </c>
      <c r="AD224" t="s">
        <v>81</v>
      </c>
      <c r="AE224" t="s">
        <v>80</v>
      </c>
      <c r="AF224" t="s">
        <v>81</v>
      </c>
      <c r="AG224" t="s">
        <v>78</v>
      </c>
      <c r="AH224" t="s">
        <v>80</v>
      </c>
      <c r="AI224" t="s">
        <v>78</v>
      </c>
      <c r="AJ224">
        <v>5</v>
      </c>
      <c r="AK224">
        <v>4</v>
      </c>
      <c r="AL224">
        <v>5</v>
      </c>
      <c r="AM224" t="s">
        <v>82</v>
      </c>
    </row>
    <row r="225" spans="1:46" x14ac:dyDescent="0.35">
      <c r="A225">
        <v>68</v>
      </c>
      <c r="B225" t="str" cm="1">
        <f t="array" ref="B225">_xlfn.IFS(A225&lt;=25,"18-25",A225&lt;=33,"26-33",A225&lt;=41,"34-41",A225&lt;=49,"42-49",A225&gt;49,"50 or above")</f>
        <v>50 or above</v>
      </c>
      <c r="C225" t="s">
        <v>89</v>
      </c>
      <c r="D225" t="s">
        <v>105</v>
      </c>
      <c r="E225" t="s">
        <v>136</v>
      </c>
      <c r="F225" t="s">
        <v>87</v>
      </c>
      <c r="G225" t="s">
        <v>66</v>
      </c>
      <c r="H225" t="s">
        <v>66</v>
      </c>
      <c r="I225">
        <v>1</v>
      </c>
      <c r="J225" t="s">
        <v>67</v>
      </c>
      <c r="K225" t="s">
        <v>68</v>
      </c>
      <c r="P225" t="s">
        <v>67</v>
      </c>
      <c r="Q225" t="s">
        <v>103</v>
      </c>
      <c r="R225" t="s">
        <v>92</v>
      </c>
      <c r="S225" t="s">
        <v>113</v>
      </c>
      <c r="T225" t="s">
        <v>99</v>
      </c>
      <c r="W225" t="s">
        <v>134</v>
      </c>
      <c r="X225" t="s">
        <v>77</v>
      </c>
      <c r="Z225" t="s">
        <v>78</v>
      </c>
      <c r="AA225" t="s">
        <v>78</v>
      </c>
      <c r="AB225" t="s">
        <v>79</v>
      </c>
      <c r="AC225" t="s">
        <v>81</v>
      </c>
      <c r="AD225" t="s">
        <v>80</v>
      </c>
      <c r="AE225" t="s">
        <v>80</v>
      </c>
      <c r="AF225" t="s">
        <v>80</v>
      </c>
      <c r="AG225" t="s">
        <v>79</v>
      </c>
      <c r="AH225" t="s">
        <v>80</v>
      </c>
      <c r="AI225" t="s">
        <v>81</v>
      </c>
      <c r="AJ225">
        <v>5</v>
      </c>
      <c r="AK225">
        <v>2</v>
      </c>
      <c r="AL225">
        <v>3</v>
      </c>
      <c r="AM225" t="s">
        <v>115</v>
      </c>
    </row>
    <row r="226" spans="1:46" x14ac:dyDescent="0.35">
      <c r="A226">
        <v>35</v>
      </c>
      <c r="B226" t="str" cm="1">
        <f t="array" ref="B226">_xlfn.IFS(A226&lt;=25,"18-25",A226&lt;=33,"26-33",A226&lt;=41,"34-41",A226&lt;=49,"42-49",A226&gt;49,"50 or above")</f>
        <v>34-41</v>
      </c>
      <c r="C226" t="s">
        <v>89</v>
      </c>
      <c r="D226" t="s">
        <v>105</v>
      </c>
      <c r="E226" t="s">
        <v>86</v>
      </c>
      <c r="F226" t="s">
        <v>90</v>
      </c>
      <c r="G226" t="s">
        <v>66</v>
      </c>
      <c r="H226" t="s">
        <v>66</v>
      </c>
      <c r="I226">
        <v>1</v>
      </c>
      <c r="J226" t="s">
        <v>67</v>
      </c>
      <c r="K226" t="s">
        <v>68</v>
      </c>
      <c r="L226" t="s">
        <v>69</v>
      </c>
      <c r="P226" t="s">
        <v>67</v>
      </c>
      <c r="Q226" t="s">
        <v>70</v>
      </c>
      <c r="R226" t="s">
        <v>71</v>
      </c>
      <c r="S226" t="s">
        <v>107</v>
      </c>
      <c r="T226" t="s">
        <v>73</v>
      </c>
      <c r="V226" t="s">
        <v>96</v>
      </c>
      <c r="Z226" t="s">
        <v>80</v>
      </c>
      <c r="AA226" t="s">
        <v>80</v>
      </c>
      <c r="AB226" t="s">
        <v>81</v>
      </c>
      <c r="AC226" t="s">
        <v>80</v>
      </c>
      <c r="AD226" t="s">
        <v>79</v>
      </c>
      <c r="AE226" t="s">
        <v>80</v>
      </c>
      <c r="AF226" t="s">
        <v>81</v>
      </c>
      <c r="AG226" t="s">
        <v>78</v>
      </c>
      <c r="AH226" t="s">
        <v>78</v>
      </c>
      <c r="AI226" t="s">
        <v>81</v>
      </c>
      <c r="AJ226">
        <v>3</v>
      </c>
      <c r="AK226">
        <v>3</v>
      </c>
      <c r="AL226">
        <v>5</v>
      </c>
      <c r="AM226" t="s">
        <v>82</v>
      </c>
    </row>
    <row r="227" spans="1:46" x14ac:dyDescent="0.35">
      <c r="A227">
        <v>50</v>
      </c>
      <c r="B227" t="str" cm="1">
        <f t="array" ref="B227">_xlfn.IFS(A227&lt;=25,"18-25",A227&lt;=33,"26-33",A227&lt;=41,"34-41",A227&lt;=49,"42-49",A227&gt;49,"50 or above")</f>
        <v>50 or above</v>
      </c>
      <c r="C227" t="s">
        <v>89</v>
      </c>
      <c r="D227" t="s">
        <v>63</v>
      </c>
      <c r="E227" t="s">
        <v>86</v>
      </c>
      <c r="F227" t="s">
        <v>65</v>
      </c>
      <c r="G227" t="s">
        <v>66</v>
      </c>
      <c r="H227" t="s">
        <v>66</v>
      </c>
      <c r="I227">
        <v>1</v>
      </c>
      <c r="J227" t="s">
        <v>67</v>
      </c>
      <c r="K227" t="s">
        <v>68</v>
      </c>
      <c r="P227" t="s">
        <v>93</v>
      </c>
      <c r="Q227" t="s">
        <v>70</v>
      </c>
      <c r="R227" t="s">
        <v>92</v>
      </c>
      <c r="S227" t="s">
        <v>95</v>
      </c>
      <c r="T227" t="s">
        <v>140</v>
      </c>
      <c r="U227" t="s">
        <v>74</v>
      </c>
      <c r="V227" t="s">
        <v>75</v>
      </c>
      <c r="W227" t="s">
        <v>76</v>
      </c>
      <c r="Z227" t="s">
        <v>81</v>
      </c>
      <c r="AA227" t="s">
        <v>80</v>
      </c>
      <c r="AB227" t="s">
        <v>81</v>
      </c>
      <c r="AC227" t="s">
        <v>81</v>
      </c>
      <c r="AD227" t="s">
        <v>80</v>
      </c>
      <c r="AE227" t="s">
        <v>80</v>
      </c>
      <c r="AF227" t="s">
        <v>80</v>
      </c>
      <c r="AG227" t="s">
        <v>80</v>
      </c>
      <c r="AH227" t="s">
        <v>81</v>
      </c>
      <c r="AI227" t="s">
        <v>78</v>
      </c>
      <c r="AJ227">
        <v>5</v>
      </c>
      <c r="AK227">
        <v>3</v>
      </c>
      <c r="AL227">
        <v>4</v>
      </c>
      <c r="AM227" t="s">
        <v>97</v>
      </c>
    </row>
    <row r="228" spans="1:46" x14ac:dyDescent="0.35">
      <c r="A228">
        <v>30</v>
      </c>
      <c r="B228" t="str" cm="1">
        <f t="array" ref="B228">_xlfn.IFS(A228&lt;=25,"18-25",A228&lt;=33,"26-33",A228&lt;=41,"34-41",A228&lt;=49,"42-49",A228&gt;49,"50 or above")</f>
        <v>26-33</v>
      </c>
      <c r="C228" t="s">
        <v>89</v>
      </c>
      <c r="D228" t="s">
        <v>105</v>
      </c>
      <c r="E228" t="s">
        <v>109</v>
      </c>
      <c r="F228" t="s">
        <v>90</v>
      </c>
      <c r="G228" t="s">
        <v>66</v>
      </c>
      <c r="H228" t="s">
        <v>66</v>
      </c>
      <c r="I228">
        <v>1</v>
      </c>
      <c r="J228" t="s">
        <v>67</v>
      </c>
      <c r="K228" t="s">
        <v>68</v>
      </c>
      <c r="L228" t="s">
        <v>69</v>
      </c>
      <c r="P228" t="s">
        <v>91</v>
      </c>
      <c r="Q228" t="s">
        <v>98</v>
      </c>
      <c r="R228" t="s">
        <v>94</v>
      </c>
      <c r="S228" t="s">
        <v>72</v>
      </c>
      <c r="T228" t="s">
        <v>73</v>
      </c>
      <c r="U228" t="s">
        <v>74</v>
      </c>
      <c r="V228" t="s">
        <v>75</v>
      </c>
      <c r="W228" t="s">
        <v>76</v>
      </c>
      <c r="Z228" t="s">
        <v>81</v>
      </c>
      <c r="AA228" t="s">
        <v>80</v>
      </c>
      <c r="AB228" t="s">
        <v>81</v>
      </c>
      <c r="AC228" t="s">
        <v>81</v>
      </c>
      <c r="AD228" t="s">
        <v>80</v>
      </c>
      <c r="AE228" t="s">
        <v>80</v>
      </c>
      <c r="AF228" t="s">
        <v>80</v>
      </c>
      <c r="AG228" t="s">
        <v>80</v>
      </c>
      <c r="AH228" t="s">
        <v>81</v>
      </c>
      <c r="AI228" t="s">
        <v>78</v>
      </c>
      <c r="AJ228">
        <v>5</v>
      </c>
      <c r="AK228">
        <v>4</v>
      </c>
      <c r="AL228">
        <v>4</v>
      </c>
      <c r="AM228" t="s">
        <v>97</v>
      </c>
      <c r="AQ228" t="s">
        <v>118</v>
      </c>
    </row>
    <row r="229" spans="1:46" x14ac:dyDescent="0.35">
      <c r="A229">
        <v>41</v>
      </c>
      <c r="B229" t="str" cm="1">
        <f t="array" ref="B229">_xlfn.IFS(A229&lt;=25,"18-25",A229&lt;=33,"26-33",A229&lt;=41,"34-41",A229&lt;=49,"42-49",A229&gt;49,"50 or above")</f>
        <v>34-41</v>
      </c>
      <c r="C229" t="s">
        <v>89</v>
      </c>
      <c r="D229" t="s">
        <v>63</v>
      </c>
      <c r="E229" t="s">
        <v>86</v>
      </c>
      <c r="F229" t="s">
        <v>87</v>
      </c>
      <c r="G229" t="s">
        <v>66</v>
      </c>
      <c r="H229" t="s">
        <v>66</v>
      </c>
      <c r="I229">
        <v>1</v>
      </c>
      <c r="J229" t="s">
        <v>67</v>
      </c>
      <c r="P229" t="s">
        <v>67</v>
      </c>
      <c r="Q229" t="s">
        <v>98</v>
      </c>
      <c r="R229" t="s">
        <v>71</v>
      </c>
      <c r="S229" t="s">
        <v>72</v>
      </c>
      <c r="T229" t="s">
        <v>73</v>
      </c>
      <c r="U229" t="s">
        <v>153</v>
      </c>
      <c r="W229" t="s">
        <v>134</v>
      </c>
      <c r="Z229" t="s">
        <v>80</v>
      </c>
      <c r="AA229" t="s">
        <v>80</v>
      </c>
      <c r="AB229" t="s">
        <v>80</v>
      </c>
      <c r="AC229" t="s">
        <v>80</v>
      </c>
      <c r="AD229" t="s">
        <v>80</v>
      </c>
      <c r="AE229" t="s">
        <v>80</v>
      </c>
      <c r="AF229" t="s">
        <v>80</v>
      </c>
      <c r="AG229" t="s">
        <v>80</v>
      </c>
      <c r="AH229" t="s">
        <v>81</v>
      </c>
      <c r="AI229" t="s">
        <v>81</v>
      </c>
      <c r="AJ229">
        <v>5</v>
      </c>
      <c r="AK229">
        <v>5</v>
      </c>
      <c r="AL229">
        <v>5</v>
      </c>
      <c r="AM229" t="s">
        <v>82</v>
      </c>
    </row>
    <row r="230" spans="1:46" x14ac:dyDescent="0.35">
      <c r="A230">
        <v>31</v>
      </c>
      <c r="B230" t="str" cm="1">
        <f t="array" ref="B230">_xlfn.IFS(A230&lt;=25,"18-25",A230&lt;=33,"26-33",A230&lt;=41,"34-41",A230&lt;=49,"42-49",A230&gt;49,"50 or above")</f>
        <v>26-33</v>
      </c>
      <c r="C230" t="s">
        <v>62</v>
      </c>
      <c r="D230" t="s">
        <v>116</v>
      </c>
      <c r="E230" t="s">
        <v>86</v>
      </c>
      <c r="F230" t="s">
        <v>102</v>
      </c>
      <c r="G230" t="s">
        <v>66</v>
      </c>
      <c r="H230" t="s">
        <v>66</v>
      </c>
      <c r="I230">
        <v>1</v>
      </c>
      <c r="L230" t="s">
        <v>91</v>
      </c>
      <c r="P230" t="s">
        <v>91</v>
      </c>
      <c r="Q230" t="s">
        <v>98</v>
      </c>
      <c r="R230" t="s">
        <v>92</v>
      </c>
      <c r="S230" t="s">
        <v>72</v>
      </c>
      <c r="T230" t="s">
        <v>73</v>
      </c>
      <c r="W230" t="s">
        <v>134</v>
      </c>
      <c r="Z230" t="s">
        <v>81</v>
      </c>
      <c r="AA230" t="s">
        <v>80</v>
      </c>
      <c r="AB230" t="s">
        <v>80</v>
      </c>
      <c r="AC230" t="s">
        <v>81</v>
      </c>
      <c r="AD230" t="s">
        <v>79</v>
      </c>
      <c r="AE230" t="s">
        <v>80</v>
      </c>
      <c r="AF230" t="s">
        <v>80</v>
      </c>
      <c r="AG230" t="s">
        <v>80</v>
      </c>
      <c r="AH230" t="s">
        <v>78</v>
      </c>
      <c r="AI230" t="s">
        <v>80</v>
      </c>
      <c r="AJ230">
        <v>4</v>
      </c>
      <c r="AK230">
        <v>4</v>
      </c>
      <c r="AL230">
        <v>3</v>
      </c>
      <c r="AT230" t="s">
        <v>145</v>
      </c>
    </row>
  </sheetData>
  <mergeCells count="3">
    <mergeCell ref="J1:O1"/>
    <mergeCell ref="U1:Y1"/>
    <mergeCell ref="AN1:AW1"/>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4D3A-F6C3-41DF-A8D7-93E388E28B09}">
  <dimension ref="A1:BG115"/>
  <sheetViews>
    <sheetView workbookViewId="0"/>
  </sheetViews>
  <sheetFormatPr defaultRowHeight="14.5" x14ac:dyDescent="0.35"/>
  <cols>
    <col min="1" max="1" width="6.08984375" bestFit="1" customWidth="1"/>
    <col min="2" max="2" width="12" bestFit="1" customWidth="1"/>
    <col min="3" max="3" width="13.90625" bestFit="1" customWidth="1"/>
    <col min="4" max="4" width="17.7265625" bestFit="1" customWidth="1"/>
    <col min="5" max="5" width="17.81640625" bestFit="1" customWidth="1"/>
    <col min="6" max="6" width="17" bestFit="1" customWidth="1"/>
    <col min="7" max="7" width="11.54296875" bestFit="1" customWidth="1"/>
    <col min="8" max="8" width="10.7265625" bestFit="1" customWidth="1"/>
    <col min="9" max="9" width="16.90625" bestFit="1" customWidth="1"/>
    <col min="10" max="11" width="10.7265625" bestFit="1" customWidth="1"/>
    <col min="12" max="12" width="14.81640625" bestFit="1" customWidth="1"/>
    <col min="13" max="15" width="10.7265625" bestFit="1" customWidth="1"/>
    <col min="16" max="16" width="14.453125" bestFit="1" customWidth="1"/>
    <col min="17" max="17" width="45.36328125" bestFit="1" customWidth="1"/>
    <col min="18" max="18" width="19.36328125" bestFit="1" customWidth="1"/>
    <col min="19" max="19" width="22.1796875" bestFit="1" customWidth="1"/>
    <col min="20" max="20" width="26.54296875" bestFit="1" customWidth="1"/>
    <col min="21" max="21" width="9.08984375" bestFit="1" customWidth="1"/>
    <col min="22" max="22" width="19.26953125" bestFit="1" customWidth="1"/>
    <col min="23" max="23" width="13.90625" bestFit="1" customWidth="1"/>
    <col min="24" max="24" width="12.54296875" bestFit="1" customWidth="1"/>
    <col min="25" max="25" width="9.453125" bestFit="1" customWidth="1"/>
    <col min="26" max="26" width="30" bestFit="1" customWidth="1"/>
    <col min="27" max="27" width="31.08984375" bestFit="1" customWidth="1"/>
    <col min="28" max="28" width="28.453125" bestFit="1" customWidth="1"/>
    <col min="29" max="29" width="29.90625" bestFit="1" customWidth="1"/>
    <col min="30" max="30" width="27.7265625" bestFit="1" customWidth="1"/>
    <col min="31" max="31" width="24.1796875" bestFit="1" customWidth="1"/>
    <col min="32" max="32" width="40.26953125" bestFit="1" customWidth="1"/>
    <col min="33" max="33" width="24.6328125" bestFit="1" customWidth="1"/>
    <col min="34" max="34" width="51" bestFit="1" customWidth="1"/>
    <col min="35" max="35" width="27.26953125" bestFit="1" customWidth="1"/>
    <col min="36" max="36" width="39.90625" bestFit="1" customWidth="1"/>
    <col min="37" max="37" width="39.54296875" bestFit="1" customWidth="1"/>
    <col min="38" max="38" width="44.54296875" bestFit="1" customWidth="1"/>
    <col min="39" max="39" width="40.08984375" bestFit="1" customWidth="1"/>
    <col min="40" max="41" width="21.453125" bestFit="1" customWidth="1"/>
    <col min="42" max="42" width="20.54296875" bestFit="1" customWidth="1"/>
    <col min="43" max="43" width="26.1796875" bestFit="1" customWidth="1"/>
    <col min="44" max="44" width="22.08984375" bestFit="1" customWidth="1"/>
    <col min="45" max="45" width="23.453125" bestFit="1" customWidth="1"/>
    <col min="46" max="46" width="25.90625" bestFit="1" customWidth="1"/>
    <col min="47" max="47" width="33.1796875" bestFit="1" customWidth="1"/>
    <col min="48" max="48" width="31.36328125" bestFit="1" customWidth="1"/>
    <col min="49" max="49" width="11.36328125" bestFit="1" customWidth="1"/>
    <col min="50" max="50" width="36.54296875" bestFit="1" customWidth="1"/>
    <col min="51" max="51" width="47.7265625" bestFit="1" customWidth="1"/>
    <col min="52" max="52" width="46.36328125" bestFit="1" customWidth="1"/>
    <col min="53" max="53" width="58.54296875" bestFit="1" customWidth="1"/>
    <col min="54" max="54" width="67.26953125" bestFit="1" customWidth="1"/>
    <col min="55" max="55" width="80" bestFit="1" customWidth="1"/>
    <col min="56" max="56" width="60.1796875" bestFit="1" customWidth="1"/>
    <col min="57" max="57" width="75.7265625" bestFit="1" customWidth="1"/>
    <col min="58" max="58" width="67.7265625" bestFit="1" customWidth="1"/>
    <col min="59" max="59" width="85.26953125" bestFit="1" customWidth="1"/>
  </cols>
  <sheetData>
    <row r="1" spans="1:59" s="1" customFormat="1" x14ac:dyDescent="0.35">
      <c r="J1" s="9" t="s">
        <v>0</v>
      </c>
      <c r="K1" s="9"/>
      <c r="L1" s="9"/>
      <c r="M1" s="9"/>
      <c r="N1" s="9"/>
      <c r="O1" s="9"/>
      <c r="U1" s="9" t="s">
        <v>1</v>
      </c>
      <c r="V1" s="9"/>
      <c r="W1" s="9"/>
      <c r="X1" s="9"/>
      <c r="Y1" s="9"/>
      <c r="AN1" s="9" t="s">
        <v>2</v>
      </c>
      <c r="AO1" s="9"/>
      <c r="AP1" s="9"/>
      <c r="AQ1" s="9"/>
      <c r="AR1" s="9"/>
      <c r="AS1" s="9"/>
      <c r="AT1" s="9"/>
      <c r="AU1" s="9"/>
      <c r="AV1" s="9"/>
      <c r="AW1" s="9"/>
    </row>
    <row r="2" spans="1:59" s="1" customFormat="1" x14ac:dyDescent="0.3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c r="AJ2" s="1" t="s">
        <v>38</v>
      </c>
      <c r="AK2" s="1" t="s">
        <v>39</v>
      </c>
      <c r="AL2" s="1" t="s">
        <v>40</v>
      </c>
      <c r="AM2" s="1" t="s">
        <v>41</v>
      </c>
      <c r="AN2" s="1" t="s">
        <v>42</v>
      </c>
      <c r="AO2" s="1" t="s">
        <v>43</v>
      </c>
      <c r="AP2" s="1" t="s">
        <v>44</v>
      </c>
      <c r="AQ2" s="1" t="s">
        <v>45</v>
      </c>
      <c r="AR2" s="1" t="s">
        <v>46</v>
      </c>
      <c r="AS2" s="1" t="s">
        <v>47</v>
      </c>
      <c r="AT2" s="1" t="s">
        <v>48</v>
      </c>
      <c r="AU2" s="1" t="s">
        <v>49</v>
      </c>
      <c r="AV2" s="1" t="s">
        <v>50</v>
      </c>
      <c r="AW2" s="1" t="s">
        <v>51</v>
      </c>
      <c r="AX2" s="1" t="s">
        <v>52</v>
      </c>
      <c r="AY2" s="1" t="s">
        <v>53</v>
      </c>
      <c r="AZ2" s="1" t="s">
        <v>54</v>
      </c>
      <c r="BA2" s="1" t="s">
        <v>55</v>
      </c>
      <c r="BB2" s="1" t="s">
        <v>56</v>
      </c>
      <c r="BC2" s="1" t="s">
        <v>57</v>
      </c>
      <c r="BD2" s="1" t="s">
        <v>58</v>
      </c>
      <c r="BE2" s="1" t="s">
        <v>59</v>
      </c>
      <c r="BF2" s="1" t="s">
        <v>60</v>
      </c>
      <c r="BG2" s="1" t="s">
        <v>61</v>
      </c>
    </row>
    <row r="3" spans="1:59" x14ac:dyDescent="0.35">
      <c r="A3">
        <v>29</v>
      </c>
      <c r="B3" t="str" cm="1">
        <f t="array" ref="B3">_xlfn.IFS(A3&lt;=25,"18-25",A3&lt;=33,"26-33",A3&lt;=41,"34-41",A3&lt;=49,"42-49",A3&gt;49,"50 or above")</f>
        <v>26-33</v>
      </c>
      <c r="C3" t="s">
        <v>62</v>
      </c>
      <c r="D3" t="s">
        <v>63</v>
      </c>
      <c r="E3" t="s">
        <v>86</v>
      </c>
      <c r="F3" t="s">
        <v>87</v>
      </c>
      <c r="G3" t="s">
        <v>66</v>
      </c>
      <c r="H3" t="s">
        <v>88</v>
      </c>
      <c r="I3">
        <v>0</v>
      </c>
      <c r="AX3" t="s">
        <v>66</v>
      </c>
      <c r="AY3" t="s">
        <v>66</v>
      </c>
      <c r="AZ3" t="s">
        <v>88</v>
      </c>
      <c r="BA3" t="s">
        <v>78</v>
      </c>
      <c r="BB3" t="s">
        <v>80</v>
      </c>
      <c r="BC3" t="s">
        <v>81</v>
      </c>
      <c r="BD3" t="s">
        <v>78</v>
      </c>
      <c r="BE3" t="s">
        <v>81</v>
      </c>
      <c r="BF3" t="s">
        <v>78</v>
      </c>
      <c r="BG3" t="s">
        <v>78</v>
      </c>
    </row>
    <row r="4" spans="1:59" x14ac:dyDescent="0.35">
      <c r="A4">
        <v>18</v>
      </c>
      <c r="B4" t="str" cm="1">
        <f t="array" ref="B4">_xlfn.IFS(A4&lt;=25,"18-25",A4&lt;=33,"26-33",A4&lt;=41,"34-41",A4&lt;=49,"42-49",A4&gt;49,"50 or above")</f>
        <v>18-25</v>
      </c>
      <c r="C4" t="s">
        <v>62</v>
      </c>
      <c r="D4" t="s">
        <v>119</v>
      </c>
      <c r="E4" t="s">
        <v>64</v>
      </c>
      <c r="F4" t="s">
        <v>90</v>
      </c>
      <c r="G4" t="s">
        <v>66</v>
      </c>
      <c r="H4" t="s">
        <v>88</v>
      </c>
      <c r="I4">
        <v>0</v>
      </c>
      <c r="AX4" t="s">
        <v>66</v>
      </c>
      <c r="AY4" t="s">
        <v>66</v>
      </c>
      <c r="AZ4" t="s">
        <v>66</v>
      </c>
      <c r="BA4" t="s">
        <v>80</v>
      </c>
      <c r="BB4" t="s">
        <v>78</v>
      </c>
      <c r="BC4" t="s">
        <v>80</v>
      </c>
      <c r="BD4" t="s">
        <v>81</v>
      </c>
      <c r="BE4" t="s">
        <v>80</v>
      </c>
      <c r="BF4" t="s">
        <v>101</v>
      </c>
      <c r="BG4" t="s">
        <v>78</v>
      </c>
    </row>
    <row r="5" spans="1:59" x14ac:dyDescent="0.35">
      <c r="A5">
        <v>18</v>
      </c>
      <c r="B5" t="str" cm="1">
        <f t="array" ref="B5">_xlfn.IFS(A5&lt;=25,"18-25",A5&lt;=33,"26-33",A5&lt;=41,"34-41",A5&lt;=49,"42-49",A5&gt;49,"50 or above")</f>
        <v>18-25</v>
      </c>
      <c r="C5" t="s">
        <v>62</v>
      </c>
      <c r="D5" t="s">
        <v>63</v>
      </c>
      <c r="E5" t="s">
        <v>64</v>
      </c>
      <c r="F5" t="s">
        <v>65</v>
      </c>
      <c r="G5" t="s">
        <v>66</v>
      </c>
      <c r="H5" t="s">
        <v>88</v>
      </c>
      <c r="I5">
        <v>0</v>
      </c>
      <c r="AX5" t="s">
        <v>125</v>
      </c>
      <c r="AY5" t="s">
        <v>125</v>
      </c>
      <c r="AZ5" t="s">
        <v>66</v>
      </c>
      <c r="BA5" t="s">
        <v>81</v>
      </c>
      <c r="BB5" t="s">
        <v>80</v>
      </c>
      <c r="BC5" t="s">
        <v>80</v>
      </c>
      <c r="BD5" t="s">
        <v>81</v>
      </c>
      <c r="BE5" t="s">
        <v>80</v>
      </c>
      <c r="BF5" t="s">
        <v>81</v>
      </c>
      <c r="BG5" t="s">
        <v>80</v>
      </c>
    </row>
    <row r="6" spans="1:59" x14ac:dyDescent="0.35">
      <c r="A6">
        <v>35</v>
      </c>
      <c r="B6" t="str" cm="1">
        <f t="array" ref="B6">_xlfn.IFS(A6&lt;=25,"18-25",A6&lt;=33,"26-33",A6&lt;=41,"34-41",A6&lt;=49,"42-49",A6&gt;49,"50 or above")</f>
        <v>34-41</v>
      </c>
      <c r="C6" t="s">
        <v>89</v>
      </c>
      <c r="D6" t="s">
        <v>63</v>
      </c>
      <c r="E6" t="s">
        <v>121</v>
      </c>
      <c r="F6" t="s">
        <v>90</v>
      </c>
      <c r="G6" t="s">
        <v>66</v>
      </c>
      <c r="H6" t="s">
        <v>88</v>
      </c>
      <c r="I6">
        <v>0</v>
      </c>
      <c r="AX6" t="s">
        <v>125</v>
      </c>
      <c r="AY6" t="s">
        <v>125</v>
      </c>
      <c r="AZ6" t="s">
        <v>66</v>
      </c>
      <c r="BA6" t="s">
        <v>80</v>
      </c>
      <c r="BB6" t="s">
        <v>80</v>
      </c>
      <c r="BC6" t="s">
        <v>81</v>
      </c>
      <c r="BD6" t="s">
        <v>80</v>
      </c>
      <c r="BE6" t="s">
        <v>81</v>
      </c>
      <c r="BF6" t="s">
        <v>80</v>
      </c>
      <c r="BG6" t="s">
        <v>80</v>
      </c>
    </row>
    <row r="7" spans="1:59" x14ac:dyDescent="0.35">
      <c r="A7">
        <v>40</v>
      </c>
      <c r="B7" t="str" cm="1">
        <f t="array" ref="B7">_xlfn.IFS(A7&lt;=25,"18-25",A7&lt;=33,"26-33",A7&lt;=41,"34-41",A7&lt;=49,"42-49",A7&gt;49,"50 or above")</f>
        <v>34-41</v>
      </c>
      <c r="C7" t="s">
        <v>62</v>
      </c>
      <c r="D7" t="s">
        <v>105</v>
      </c>
      <c r="E7" t="s">
        <v>86</v>
      </c>
      <c r="F7" t="s">
        <v>65</v>
      </c>
      <c r="G7" t="s">
        <v>66</v>
      </c>
      <c r="H7" t="s">
        <v>88</v>
      </c>
      <c r="I7">
        <v>0</v>
      </c>
      <c r="AX7" t="s">
        <v>125</v>
      </c>
      <c r="AY7" t="s">
        <v>125</v>
      </c>
      <c r="AZ7" t="s">
        <v>66</v>
      </c>
      <c r="BA7" t="s">
        <v>80</v>
      </c>
      <c r="BB7" t="s">
        <v>80</v>
      </c>
      <c r="BC7" t="s">
        <v>80</v>
      </c>
      <c r="BD7" t="s">
        <v>80</v>
      </c>
      <c r="BE7" t="s">
        <v>80</v>
      </c>
      <c r="BF7" t="s">
        <v>80</v>
      </c>
      <c r="BG7" t="s">
        <v>80</v>
      </c>
    </row>
    <row r="8" spans="1:59" x14ac:dyDescent="0.35">
      <c r="A8">
        <v>25</v>
      </c>
      <c r="B8" t="str" cm="1">
        <f t="array" ref="B8">_xlfn.IFS(A8&lt;=25,"18-25",A8&lt;=33,"26-33",A8&lt;=41,"34-41",A8&lt;=49,"42-49",A8&gt;49,"50 or above")</f>
        <v>18-25</v>
      </c>
      <c r="C8" t="s">
        <v>62</v>
      </c>
      <c r="D8" t="s">
        <v>116</v>
      </c>
      <c r="E8" t="s">
        <v>86</v>
      </c>
      <c r="F8" t="s">
        <v>90</v>
      </c>
      <c r="G8" t="s">
        <v>88</v>
      </c>
      <c r="H8" t="s">
        <v>88</v>
      </c>
      <c r="I8">
        <v>0</v>
      </c>
      <c r="AX8" t="s">
        <v>125</v>
      </c>
      <c r="AY8" t="s">
        <v>125</v>
      </c>
      <c r="AZ8" t="s">
        <v>88</v>
      </c>
      <c r="BA8" t="s">
        <v>81</v>
      </c>
      <c r="BB8" t="s">
        <v>81</v>
      </c>
      <c r="BC8" t="s">
        <v>81</v>
      </c>
      <c r="BD8" t="s">
        <v>81</v>
      </c>
      <c r="BE8" t="s">
        <v>81</v>
      </c>
      <c r="BF8" t="s">
        <v>81</v>
      </c>
      <c r="BG8" t="s">
        <v>81</v>
      </c>
    </row>
    <row r="9" spans="1:59" x14ac:dyDescent="0.35">
      <c r="A9">
        <v>18</v>
      </c>
      <c r="B9" t="str" cm="1">
        <f t="array" ref="B9">_xlfn.IFS(A9&lt;=25,"18-25",A9&lt;=33,"26-33",A9&lt;=41,"34-41",A9&lt;=49,"42-49",A9&gt;49,"50 or above")</f>
        <v>18-25</v>
      </c>
      <c r="C9" t="s">
        <v>62</v>
      </c>
      <c r="D9" t="s">
        <v>119</v>
      </c>
      <c r="E9" t="s">
        <v>64</v>
      </c>
      <c r="F9" t="s">
        <v>102</v>
      </c>
      <c r="G9" t="s">
        <v>88</v>
      </c>
      <c r="H9" t="s">
        <v>88</v>
      </c>
      <c r="I9">
        <v>0</v>
      </c>
      <c r="AX9" t="s">
        <v>125</v>
      </c>
      <c r="AY9" t="s">
        <v>125</v>
      </c>
      <c r="AZ9" t="s">
        <v>88</v>
      </c>
      <c r="BA9" t="s">
        <v>81</v>
      </c>
      <c r="BB9" t="s">
        <v>81</v>
      </c>
      <c r="BC9" t="s">
        <v>81</v>
      </c>
      <c r="BD9" t="s">
        <v>81</v>
      </c>
      <c r="BE9" t="s">
        <v>79</v>
      </c>
      <c r="BF9" t="s">
        <v>80</v>
      </c>
      <c r="BG9" t="s">
        <v>79</v>
      </c>
    </row>
    <row r="10" spans="1:59" x14ac:dyDescent="0.35">
      <c r="A10">
        <v>35</v>
      </c>
      <c r="B10" t="str" cm="1">
        <f t="array" ref="B10">_xlfn.IFS(A10&lt;=25,"18-25",A10&lt;=33,"26-33",A10&lt;=41,"34-41",A10&lt;=49,"42-49",A10&gt;49,"50 or above")</f>
        <v>34-41</v>
      </c>
      <c r="C10" t="s">
        <v>62</v>
      </c>
      <c r="D10" t="s">
        <v>116</v>
      </c>
      <c r="E10" t="s">
        <v>109</v>
      </c>
      <c r="F10" t="s">
        <v>65</v>
      </c>
      <c r="G10" t="s">
        <v>66</v>
      </c>
      <c r="H10" t="s">
        <v>88</v>
      </c>
      <c r="I10">
        <v>0</v>
      </c>
      <c r="AX10" t="s">
        <v>125</v>
      </c>
      <c r="AY10" t="s">
        <v>125</v>
      </c>
      <c r="AZ10" t="s">
        <v>66</v>
      </c>
      <c r="BA10" t="s">
        <v>81</v>
      </c>
      <c r="BB10" t="s">
        <v>81</v>
      </c>
      <c r="BC10" t="s">
        <v>81</v>
      </c>
      <c r="BD10" t="s">
        <v>81</v>
      </c>
      <c r="BE10" t="s">
        <v>81</v>
      </c>
      <c r="BF10" t="s">
        <v>81</v>
      </c>
      <c r="BG10" t="s">
        <v>81</v>
      </c>
    </row>
    <row r="11" spans="1:59" x14ac:dyDescent="0.35">
      <c r="A11">
        <v>50</v>
      </c>
      <c r="B11" t="str" cm="1">
        <f t="array" ref="B11">_xlfn.IFS(A11&lt;=25,"18-25",A11&lt;=33,"26-33",A11&lt;=41,"34-41",A11&lt;=49,"42-49",A11&gt;49,"50 or above")</f>
        <v>50 or above</v>
      </c>
      <c r="C11" t="s">
        <v>62</v>
      </c>
      <c r="D11" t="s">
        <v>116</v>
      </c>
      <c r="E11" t="s">
        <v>136</v>
      </c>
      <c r="F11" t="s">
        <v>102</v>
      </c>
      <c r="G11" t="s">
        <v>66</v>
      </c>
      <c r="H11" t="s">
        <v>88</v>
      </c>
      <c r="I11">
        <v>0</v>
      </c>
      <c r="AX11" t="s">
        <v>125</v>
      </c>
      <c r="AY11" t="s">
        <v>66</v>
      </c>
      <c r="AZ11" t="s">
        <v>66</v>
      </c>
      <c r="BA11" t="s">
        <v>80</v>
      </c>
      <c r="BB11" t="s">
        <v>78</v>
      </c>
      <c r="BC11" t="s">
        <v>78</v>
      </c>
      <c r="BD11" t="s">
        <v>80</v>
      </c>
      <c r="BE11" t="s">
        <v>78</v>
      </c>
      <c r="BF11" t="s">
        <v>78</v>
      </c>
      <c r="BG11" t="s">
        <v>78</v>
      </c>
    </row>
    <row r="12" spans="1:59" x14ac:dyDescent="0.35">
      <c r="A12">
        <v>21</v>
      </c>
      <c r="B12" t="str" cm="1">
        <f t="array" ref="B12">_xlfn.IFS(A12&lt;=25,"18-25",A12&lt;=33,"26-33",A12&lt;=41,"34-41",A12&lt;=49,"42-49",A12&gt;49,"50 or above")</f>
        <v>18-25</v>
      </c>
      <c r="C12" t="s">
        <v>62</v>
      </c>
      <c r="D12" t="s">
        <v>63</v>
      </c>
      <c r="E12" t="s">
        <v>64</v>
      </c>
      <c r="F12" t="s">
        <v>87</v>
      </c>
      <c r="G12" t="s">
        <v>66</v>
      </c>
      <c r="H12" t="s">
        <v>88</v>
      </c>
      <c r="I12">
        <v>0</v>
      </c>
      <c r="AQ12" t="s">
        <v>118</v>
      </c>
      <c r="AR12" t="s">
        <v>124</v>
      </c>
      <c r="AS12" t="s">
        <v>137</v>
      </c>
      <c r="AT12" t="s">
        <v>138</v>
      </c>
      <c r="AX12" t="s">
        <v>66</v>
      </c>
      <c r="AY12" t="s">
        <v>66</v>
      </c>
      <c r="AZ12" t="s">
        <v>66</v>
      </c>
      <c r="BA12" t="s">
        <v>81</v>
      </c>
      <c r="BB12" t="s">
        <v>78</v>
      </c>
      <c r="BC12" t="s">
        <v>80</v>
      </c>
      <c r="BD12" t="s">
        <v>80</v>
      </c>
      <c r="BE12" t="s">
        <v>80</v>
      </c>
      <c r="BF12" t="s">
        <v>79</v>
      </c>
      <c r="BG12" t="s">
        <v>78</v>
      </c>
    </row>
    <row r="13" spans="1:59" x14ac:dyDescent="0.35">
      <c r="A13">
        <v>60</v>
      </c>
      <c r="B13" t="str" cm="1">
        <f t="array" ref="B13">_xlfn.IFS(A13&lt;=25,"18-25",A13&lt;=33,"26-33",A13&lt;=41,"34-41",A13&lt;=49,"42-49",A13&gt;49,"50 or above")</f>
        <v>50 or above</v>
      </c>
      <c r="C13" t="s">
        <v>62</v>
      </c>
      <c r="D13" t="s">
        <v>120</v>
      </c>
      <c r="E13" t="s">
        <v>109</v>
      </c>
      <c r="F13" t="s">
        <v>65</v>
      </c>
      <c r="G13" t="s">
        <v>66</v>
      </c>
      <c r="H13" t="s">
        <v>88</v>
      </c>
      <c r="I13">
        <v>0</v>
      </c>
      <c r="AX13" t="s">
        <v>88</v>
      </c>
      <c r="AY13" t="s">
        <v>125</v>
      </c>
      <c r="AZ13" t="s">
        <v>66</v>
      </c>
      <c r="BA13" t="s">
        <v>80</v>
      </c>
      <c r="BB13" t="s">
        <v>81</v>
      </c>
      <c r="BC13" t="s">
        <v>80</v>
      </c>
      <c r="BD13" t="s">
        <v>81</v>
      </c>
      <c r="BE13" t="s">
        <v>80</v>
      </c>
      <c r="BF13" t="s">
        <v>80</v>
      </c>
      <c r="BG13" t="s">
        <v>78</v>
      </c>
    </row>
    <row r="14" spans="1:59" x14ac:dyDescent="0.35">
      <c r="A14">
        <v>60</v>
      </c>
      <c r="B14" t="str" cm="1">
        <f t="array" ref="B14">_xlfn.IFS(A14&lt;=25,"18-25",A14&lt;=33,"26-33",A14&lt;=41,"34-41",A14&lt;=49,"42-49",A14&gt;49,"50 or above")</f>
        <v>50 or above</v>
      </c>
      <c r="C14" t="s">
        <v>62</v>
      </c>
      <c r="D14" t="s">
        <v>119</v>
      </c>
      <c r="E14" t="s">
        <v>136</v>
      </c>
      <c r="F14" t="s">
        <v>87</v>
      </c>
      <c r="G14" t="s">
        <v>66</v>
      </c>
      <c r="H14" t="s">
        <v>88</v>
      </c>
      <c r="I14">
        <v>0</v>
      </c>
      <c r="AX14" t="s">
        <v>66</v>
      </c>
      <c r="AY14" t="s">
        <v>125</v>
      </c>
      <c r="AZ14" t="s">
        <v>66</v>
      </c>
      <c r="BA14" t="s">
        <v>81</v>
      </c>
      <c r="BB14" t="s">
        <v>81</v>
      </c>
      <c r="BC14" t="s">
        <v>80</v>
      </c>
      <c r="BD14" t="s">
        <v>81</v>
      </c>
      <c r="BE14" t="s">
        <v>81</v>
      </c>
      <c r="BF14" t="s">
        <v>81</v>
      </c>
      <c r="BG14" t="s">
        <v>81</v>
      </c>
    </row>
    <row r="15" spans="1:59" x14ac:dyDescent="0.35">
      <c r="A15">
        <v>35</v>
      </c>
      <c r="B15" t="str" cm="1">
        <f t="array" ref="B15">_xlfn.IFS(A15&lt;=25,"18-25",A15&lt;=33,"26-33",A15&lt;=41,"34-41",A15&lt;=49,"42-49",A15&gt;49,"50 or above")</f>
        <v>34-41</v>
      </c>
      <c r="C15" t="s">
        <v>62</v>
      </c>
      <c r="D15" t="s">
        <v>105</v>
      </c>
      <c r="E15" t="s">
        <v>86</v>
      </c>
      <c r="F15" t="s">
        <v>65</v>
      </c>
      <c r="G15" t="s">
        <v>66</v>
      </c>
      <c r="H15" t="s">
        <v>88</v>
      </c>
      <c r="I15">
        <v>0</v>
      </c>
      <c r="AO15" t="s">
        <v>84</v>
      </c>
      <c r="AQ15" t="s">
        <v>118</v>
      </c>
      <c r="AS15" t="s">
        <v>137</v>
      </c>
      <c r="AT15" t="s">
        <v>138</v>
      </c>
      <c r="AX15" t="s">
        <v>125</v>
      </c>
      <c r="AY15" t="s">
        <v>125</v>
      </c>
      <c r="AZ15" t="s">
        <v>66</v>
      </c>
      <c r="BA15" t="s">
        <v>81</v>
      </c>
      <c r="BB15" t="s">
        <v>79</v>
      </c>
      <c r="BC15" t="s">
        <v>81</v>
      </c>
      <c r="BD15" t="s">
        <v>79</v>
      </c>
      <c r="BE15" t="s">
        <v>81</v>
      </c>
      <c r="BF15" t="s">
        <v>81</v>
      </c>
      <c r="BG15" t="s">
        <v>81</v>
      </c>
    </row>
    <row r="16" spans="1:59" x14ac:dyDescent="0.35">
      <c r="A16">
        <v>53</v>
      </c>
      <c r="B16" t="str" cm="1">
        <f t="array" ref="B16">_xlfn.IFS(A16&lt;=25,"18-25",A16&lt;=33,"26-33",A16&lt;=41,"34-41",A16&lt;=49,"42-49",A16&gt;49,"50 or above")</f>
        <v>50 or above</v>
      </c>
      <c r="C16" t="s">
        <v>62</v>
      </c>
      <c r="D16" t="s">
        <v>105</v>
      </c>
      <c r="E16" t="s">
        <v>109</v>
      </c>
      <c r="F16" t="s">
        <v>102</v>
      </c>
      <c r="G16" t="s">
        <v>66</v>
      </c>
      <c r="H16" t="s">
        <v>88</v>
      </c>
      <c r="I16">
        <v>0</v>
      </c>
      <c r="AO16" t="s">
        <v>84</v>
      </c>
      <c r="AR16" t="s">
        <v>143</v>
      </c>
      <c r="AV16" t="s">
        <v>142</v>
      </c>
      <c r="AX16" t="s">
        <v>125</v>
      </c>
      <c r="AY16" t="s">
        <v>125</v>
      </c>
      <c r="AZ16" t="s">
        <v>66</v>
      </c>
      <c r="BA16" t="s">
        <v>80</v>
      </c>
      <c r="BB16" t="s">
        <v>81</v>
      </c>
      <c r="BC16" t="s">
        <v>81</v>
      </c>
      <c r="BD16" t="s">
        <v>81</v>
      </c>
      <c r="BE16" t="s">
        <v>81</v>
      </c>
      <c r="BF16" t="s">
        <v>81</v>
      </c>
      <c r="BG16" t="s">
        <v>81</v>
      </c>
    </row>
    <row r="17" spans="1:59" x14ac:dyDescent="0.35">
      <c r="A17">
        <v>45</v>
      </c>
      <c r="B17" t="str" cm="1">
        <f t="array" ref="B17">_xlfn.IFS(A17&lt;=25,"18-25",A17&lt;=33,"26-33",A17&lt;=41,"34-41",A17&lt;=49,"42-49",A17&gt;49,"50 or above")</f>
        <v>42-49</v>
      </c>
      <c r="C17" t="s">
        <v>89</v>
      </c>
      <c r="D17" t="s">
        <v>63</v>
      </c>
      <c r="E17" t="s">
        <v>121</v>
      </c>
      <c r="F17" t="s">
        <v>65</v>
      </c>
      <c r="G17" t="s">
        <v>66</v>
      </c>
      <c r="H17" t="s">
        <v>88</v>
      </c>
      <c r="I17">
        <v>0</v>
      </c>
      <c r="AQ17" t="s">
        <v>118</v>
      </c>
      <c r="AT17" t="s">
        <v>138</v>
      </c>
      <c r="AX17" t="s">
        <v>88</v>
      </c>
      <c r="AY17" t="s">
        <v>88</v>
      </c>
      <c r="AZ17" t="s">
        <v>88</v>
      </c>
      <c r="BA17" t="s">
        <v>81</v>
      </c>
      <c r="BB17" t="s">
        <v>79</v>
      </c>
      <c r="BC17" t="s">
        <v>81</v>
      </c>
      <c r="BD17" t="s">
        <v>79</v>
      </c>
      <c r="BE17" t="s">
        <v>81</v>
      </c>
      <c r="BF17" t="s">
        <v>79</v>
      </c>
      <c r="BG17" t="s">
        <v>81</v>
      </c>
    </row>
    <row r="18" spans="1:59" x14ac:dyDescent="0.35">
      <c r="A18">
        <v>56</v>
      </c>
      <c r="B18" t="str" cm="1">
        <f t="array" ref="B18">_xlfn.IFS(A18&lt;=25,"18-25",A18&lt;=33,"26-33",A18&lt;=41,"34-41",A18&lt;=49,"42-49",A18&gt;49,"50 or above")</f>
        <v>50 or above</v>
      </c>
      <c r="C18" t="s">
        <v>62</v>
      </c>
      <c r="D18" t="s">
        <v>63</v>
      </c>
      <c r="E18" t="s">
        <v>136</v>
      </c>
      <c r="F18" t="s">
        <v>65</v>
      </c>
      <c r="G18" t="s">
        <v>88</v>
      </c>
      <c r="H18" t="s">
        <v>88</v>
      </c>
      <c r="I18">
        <v>0</v>
      </c>
      <c r="AO18" t="s">
        <v>84</v>
      </c>
      <c r="AS18" t="s">
        <v>144</v>
      </c>
      <c r="AV18" t="s">
        <v>142</v>
      </c>
      <c r="AX18" t="s">
        <v>88</v>
      </c>
      <c r="AY18" t="s">
        <v>88</v>
      </c>
      <c r="AZ18" t="s">
        <v>88</v>
      </c>
      <c r="BA18" t="s">
        <v>79</v>
      </c>
      <c r="BB18" t="s">
        <v>79</v>
      </c>
      <c r="BC18" t="s">
        <v>79</v>
      </c>
      <c r="BD18" t="s">
        <v>79</v>
      </c>
      <c r="BE18" t="s">
        <v>79</v>
      </c>
      <c r="BF18" t="s">
        <v>79</v>
      </c>
      <c r="BG18" t="s">
        <v>79</v>
      </c>
    </row>
    <row r="19" spans="1:59" x14ac:dyDescent="0.35">
      <c r="A19">
        <v>70</v>
      </c>
      <c r="B19" t="str" cm="1">
        <f t="array" ref="B19">_xlfn.IFS(A19&lt;=25,"18-25",A19&lt;=33,"26-33",A19&lt;=41,"34-41",A19&lt;=49,"42-49",A19&gt;49,"50 or above")</f>
        <v>50 or above</v>
      </c>
      <c r="C19" t="s">
        <v>62</v>
      </c>
      <c r="D19" t="s">
        <v>105</v>
      </c>
      <c r="E19" t="s">
        <v>136</v>
      </c>
      <c r="F19" t="s">
        <v>65</v>
      </c>
      <c r="G19" t="s">
        <v>66</v>
      </c>
      <c r="H19" t="s">
        <v>88</v>
      </c>
      <c r="I19">
        <v>0</v>
      </c>
      <c r="AN19" t="s">
        <v>141</v>
      </c>
      <c r="AO19" t="s">
        <v>84</v>
      </c>
      <c r="AQ19" t="s">
        <v>118</v>
      </c>
      <c r="AR19" t="s">
        <v>124</v>
      </c>
      <c r="AS19" t="s">
        <v>137</v>
      </c>
      <c r="AT19" t="s">
        <v>138</v>
      </c>
      <c r="AV19" t="s">
        <v>142</v>
      </c>
      <c r="AX19" t="s">
        <v>66</v>
      </c>
      <c r="AY19" t="s">
        <v>66</v>
      </c>
      <c r="AZ19" t="s">
        <v>66</v>
      </c>
      <c r="BA19" t="s">
        <v>79</v>
      </c>
      <c r="BB19" t="s">
        <v>81</v>
      </c>
      <c r="BC19" t="s">
        <v>81</v>
      </c>
      <c r="BD19" t="s">
        <v>81</v>
      </c>
      <c r="BE19" t="s">
        <v>79</v>
      </c>
      <c r="BF19" t="s">
        <v>81</v>
      </c>
      <c r="BG19" t="s">
        <v>81</v>
      </c>
    </row>
    <row r="20" spans="1:59" x14ac:dyDescent="0.35">
      <c r="A20">
        <v>56</v>
      </c>
      <c r="B20" t="str" cm="1">
        <f t="array" ref="B20">_xlfn.IFS(A20&lt;=25,"18-25",A20&lt;=33,"26-33",A20&lt;=41,"34-41",A20&lt;=49,"42-49",A20&gt;49,"50 or above")</f>
        <v>50 or above</v>
      </c>
      <c r="C20" t="s">
        <v>62</v>
      </c>
      <c r="D20" t="s">
        <v>105</v>
      </c>
      <c r="E20" t="s">
        <v>121</v>
      </c>
      <c r="F20" t="s">
        <v>65</v>
      </c>
      <c r="G20" t="s">
        <v>66</v>
      </c>
      <c r="H20" t="s">
        <v>88</v>
      </c>
      <c r="I20">
        <v>0</v>
      </c>
      <c r="AX20" t="s">
        <v>88</v>
      </c>
      <c r="AY20" t="s">
        <v>88</v>
      </c>
      <c r="AZ20" t="s">
        <v>88</v>
      </c>
      <c r="BA20" t="s">
        <v>79</v>
      </c>
      <c r="BB20" t="s">
        <v>79</v>
      </c>
      <c r="BC20" t="s">
        <v>81</v>
      </c>
      <c r="BD20" t="s">
        <v>79</v>
      </c>
      <c r="BE20" t="s">
        <v>81</v>
      </c>
      <c r="BF20" t="s">
        <v>79</v>
      </c>
      <c r="BG20" t="s">
        <v>81</v>
      </c>
    </row>
    <row r="21" spans="1:59" x14ac:dyDescent="0.35">
      <c r="A21">
        <v>43</v>
      </c>
      <c r="B21" t="str" cm="1">
        <f t="array" ref="B21">_xlfn.IFS(A21&lt;=25,"18-25",A21&lt;=33,"26-33",A21&lt;=41,"34-41",A21&lt;=49,"42-49",A21&gt;49,"50 or above")</f>
        <v>42-49</v>
      </c>
      <c r="C21" t="s">
        <v>89</v>
      </c>
      <c r="D21" t="s">
        <v>120</v>
      </c>
      <c r="E21" t="s">
        <v>109</v>
      </c>
      <c r="F21" t="s">
        <v>102</v>
      </c>
      <c r="G21" t="s">
        <v>88</v>
      </c>
      <c r="H21" t="s">
        <v>88</v>
      </c>
      <c r="I21">
        <v>0</v>
      </c>
      <c r="AO21" t="s">
        <v>84</v>
      </c>
      <c r="AQ21" t="s">
        <v>118</v>
      </c>
      <c r="AR21" t="s">
        <v>124</v>
      </c>
      <c r="AX21" t="s">
        <v>88</v>
      </c>
      <c r="AY21" t="s">
        <v>88</v>
      </c>
      <c r="AZ21" t="s">
        <v>66</v>
      </c>
      <c r="BA21" t="s">
        <v>80</v>
      </c>
      <c r="BB21" t="s">
        <v>80</v>
      </c>
      <c r="BC21" t="s">
        <v>78</v>
      </c>
      <c r="BD21" t="s">
        <v>81</v>
      </c>
      <c r="BE21" t="s">
        <v>79</v>
      </c>
      <c r="BF21" t="s">
        <v>80</v>
      </c>
      <c r="BG21" t="s">
        <v>81</v>
      </c>
    </row>
    <row r="22" spans="1:59" x14ac:dyDescent="0.35">
      <c r="A22">
        <v>54</v>
      </c>
      <c r="B22" t="str" cm="1">
        <f t="array" ref="B22">_xlfn.IFS(A22&lt;=25,"18-25",A22&lt;=33,"26-33",A22&lt;=41,"34-41",A22&lt;=49,"42-49",A22&gt;49,"50 or above")</f>
        <v>50 or above</v>
      </c>
      <c r="C22" t="s">
        <v>89</v>
      </c>
      <c r="D22" t="s">
        <v>119</v>
      </c>
      <c r="E22" t="s">
        <v>121</v>
      </c>
      <c r="F22" t="s">
        <v>87</v>
      </c>
      <c r="G22" t="s">
        <v>88</v>
      </c>
      <c r="H22" t="s">
        <v>88</v>
      </c>
      <c r="I22">
        <v>0</v>
      </c>
      <c r="AN22" t="s">
        <v>83</v>
      </c>
      <c r="AR22" t="s">
        <v>124</v>
      </c>
      <c r="AS22" t="s">
        <v>137</v>
      </c>
      <c r="AT22" t="s">
        <v>145</v>
      </c>
      <c r="AX22" t="s">
        <v>125</v>
      </c>
      <c r="AY22" t="s">
        <v>88</v>
      </c>
      <c r="AZ22" t="s">
        <v>66</v>
      </c>
      <c r="BA22" t="s">
        <v>80</v>
      </c>
      <c r="BB22" t="s">
        <v>78</v>
      </c>
      <c r="BC22" t="s">
        <v>80</v>
      </c>
      <c r="BD22" t="s">
        <v>80</v>
      </c>
      <c r="BE22" t="s">
        <v>80</v>
      </c>
      <c r="BF22" t="s">
        <v>78</v>
      </c>
      <c r="BG22" t="s">
        <v>78</v>
      </c>
    </row>
    <row r="23" spans="1:59" x14ac:dyDescent="0.35">
      <c r="A23">
        <v>53</v>
      </c>
      <c r="B23" t="str" cm="1">
        <f t="array" ref="B23">_xlfn.IFS(A23&lt;=25,"18-25",A23&lt;=33,"26-33",A23&lt;=41,"34-41",A23&lt;=49,"42-49",A23&gt;49,"50 or above")</f>
        <v>50 or above</v>
      </c>
      <c r="C23" t="s">
        <v>62</v>
      </c>
      <c r="D23" t="s">
        <v>105</v>
      </c>
      <c r="E23" t="s">
        <v>86</v>
      </c>
      <c r="F23" t="s">
        <v>102</v>
      </c>
      <c r="G23" t="s">
        <v>66</v>
      </c>
      <c r="H23" t="s">
        <v>88</v>
      </c>
      <c r="I23">
        <v>0</v>
      </c>
      <c r="AX23" t="s">
        <v>88</v>
      </c>
      <c r="AY23" t="s">
        <v>125</v>
      </c>
      <c r="AZ23" t="s">
        <v>66</v>
      </c>
      <c r="BA23" t="s">
        <v>81</v>
      </c>
      <c r="BB23" t="s">
        <v>80</v>
      </c>
      <c r="BC23" t="s">
        <v>81</v>
      </c>
      <c r="BD23" t="s">
        <v>80</v>
      </c>
      <c r="BE23" t="s">
        <v>78</v>
      </c>
      <c r="BF23" t="s">
        <v>81</v>
      </c>
      <c r="BG23" t="s">
        <v>78</v>
      </c>
    </row>
    <row r="24" spans="1:59" x14ac:dyDescent="0.35">
      <c r="A24">
        <v>55</v>
      </c>
      <c r="B24" t="str" cm="1">
        <f t="array" ref="B24">_xlfn.IFS(A24&lt;=25,"18-25",A24&lt;=33,"26-33",A24&lt;=41,"34-41",A24&lt;=49,"42-49",A24&gt;49,"50 or above")</f>
        <v>50 or above</v>
      </c>
      <c r="C24" t="s">
        <v>62</v>
      </c>
      <c r="D24" t="s">
        <v>119</v>
      </c>
      <c r="E24" t="s">
        <v>109</v>
      </c>
      <c r="F24" t="s">
        <v>102</v>
      </c>
      <c r="G24" t="s">
        <v>66</v>
      </c>
      <c r="H24" t="s">
        <v>88</v>
      </c>
      <c r="I24">
        <v>0</v>
      </c>
      <c r="AX24" t="s">
        <v>66</v>
      </c>
      <c r="AY24" t="s">
        <v>66</v>
      </c>
      <c r="AZ24" t="s">
        <v>66</v>
      </c>
      <c r="BA24" t="s">
        <v>78</v>
      </c>
      <c r="BB24" t="s">
        <v>80</v>
      </c>
      <c r="BC24" t="s">
        <v>78</v>
      </c>
      <c r="BD24" t="s">
        <v>80</v>
      </c>
      <c r="BE24" t="s">
        <v>78</v>
      </c>
      <c r="BF24" t="s">
        <v>80</v>
      </c>
      <c r="BG24" t="s">
        <v>78</v>
      </c>
    </row>
    <row r="25" spans="1:59" x14ac:dyDescent="0.35">
      <c r="A25">
        <v>57</v>
      </c>
      <c r="B25" t="str" cm="1">
        <f t="array" ref="B25">_xlfn.IFS(A25&lt;=25,"18-25",A25&lt;=33,"26-33",A25&lt;=41,"34-41",A25&lt;=49,"42-49",A25&gt;49,"50 or above")</f>
        <v>50 or above</v>
      </c>
      <c r="C25" t="s">
        <v>129</v>
      </c>
      <c r="D25" t="s">
        <v>120</v>
      </c>
      <c r="E25" t="s">
        <v>109</v>
      </c>
      <c r="F25" t="s">
        <v>87</v>
      </c>
      <c r="G25" t="s">
        <v>88</v>
      </c>
      <c r="H25" t="s">
        <v>88</v>
      </c>
      <c r="I25">
        <v>0</v>
      </c>
      <c r="AN25" t="s">
        <v>141</v>
      </c>
      <c r="AQ25" t="s">
        <v>118</v>
      </c>
      <c r="AS25" t="s">
        <v>137</v>
      </c>
      <c r="AV25" t="s">
        <v>142</v>
      </c>
      <c r="AX25" t="s">
        <v>88</v>
      </c>
      <c r="AY25" t="s">
        <v>88</v>
      </c>
      <c r="AZ25" t="s">
        <v>88</v>
      </c>
      <c r="BA25" t="s">
        <v>101</v>
      </c>
      <c r="BB25" t="s">
        <v>79</v>
      </c>
      <c r="BC25" t="s">
        <v>79</v>
      </c>
      <c r="BD25" t="s">
        <v>79</v>
      </c>
      <c r="BE25" t="s">
        <v>101</v>
      </c>
      <c r="BF25" t="s">
        <v>101</v>
      </c>
      <c r="BG25" t="s">
        <v>79</v>
      </c>
    </row>
    <row r="26" spans="1:59" x14ac:dyDescent="0.35">
      <c r="A26">
        <v>60</v>
      </c>
      <c r="B26" t="str" cm="1">
        <f t="array" ref="B26">_xlfn.IFS(A26&lt;=25,"18-25",A26&lt;=33,"26-33",A26&lt;=41,"34-41",A26&lt;=49,"42-49",A26&gt;49,"50 or above")</f>
        <v>50 or above</v>
      </c>
      <c r="C26" t="s">
        <v>62</v>
      </c>
      <c r="D26" t="s">
        <v>120</v>
      </c>
      <c r="E26" t="s">
        <v>109</v>
      </c>
      <c r="F26" t="s">
        <v>65</v>
      </c>
      <c r="G26" t="s">
        <v>66</v>
      </c>
      <c r="H26" t="s">
        <v>88</v>
      </c>
      <c r="I26">
        <v>0</v>
      </c>
      <c r="AX26" t="s">
        <v>125</v>
      </c>
      <c r="AY26" t="s">
        <v>125</v>
      </c>
      <c r="AZ26" t="s">
        <v>66</v>
      </c>
      <c r="BA26" t="s">
        <v>80</v>
      </c>
      <c r="BB26" t="s">
        <v>80</v>
      </c>
      <c r="BC26" t="s">
        <v>79</v>
      </c>
      <c r="BD26" t="s">
        <v>81</v>
      </c>
      <c r="BE26" t="s">
        <v>79</v>
      </c>
      <c r="BF26" t="s">
        <v>79</v>
      </c>
      <c r="BG26" t="s">
        <v>80</v>
      </c>
    </row>
    <row r="27" spans="1:59" x14ac:dyDescent="0.35">
      <c r="A27">
        <v>54</v>
      </c>
      <c r="B27" t="str" cm="1">
        <f t="array" ref="B27">_xlfn.IFS(A27&lt;=25,"18-25",A27&lt;=33,"26-33",A27&lt;=41,"34-41",A27&lt;=49,"42-49",A27&gt;49,"50 or above")</f>
        <v>50 or above</v>
      </c>
      <c r="C27" t="s">
        <v>89</v>
      </c>
      <c r="D27" t="s">
        <v>119</v>
      </c>
      <c r="E27" t="s">
        <v>109</v>
      </c>
      <c r="F27" t="s">
        <v>87</v>
      </c>
      <c r="G27" t="s">
        <v>66</v>
      </c>
      <c r="H27" t="s">
        <v>88</v>
      </c>
      <c r="I27">
        <v>0</v>
      </c>
      <c r="AO27" t="s">
        <v>84</v>
      </c>
      <c r="AQ27" t="s">
        <v>118</v>
      </c>
      <c r="AS27" t="s">
        <v>137</v>
      </c>
      <c r="AX27" t="s">
        <v>88</v>
      </c>
      <c r="AY27" t="s">
        <v>88</v>
      </c>
      <c r="AZ27" t="s">
        <v>88</v>
      </c>
      <c r="BA27" t="s">
        <v>101</v>
      </c>
      <c r="BB27" t="s">
        <v>101</v>
      </c>
      <c r="BC27" t="s">
        <v>101</v>
      </c>
      <c r="BD27" t="s">
        <v>101</v>
      </c>
      <c r="BE27" t="s">
        <v>101</v>
      </c>
      <c r="BF27" t="s">
        <v>101</v>
      </c>
      <c r="BG27" t="s">
        <v>101</v>
      </c>
    </row>
    <row r="28" spans="1:59" x14ac:dyDescent="0.35">
      <c r="A28">
        <v>32</v>
      </c>
      <c r="B28" t="str" cm="1">
        <f t="array" ref="B28">_xlfn.IFS(A28&lt;=25,"18-25",A28&lt;=33,"26-33",A28&lt;=41,"34-41",A28&lt;=49,"42-49",A28&gt;49,"50 or above")</f>
        <v>26-33</v>
      </c>
      <c r="C28" t="s">
        <v>62</v>
      </c>
      <c r="D28" t="s">
        <v>105</v>
      </c>
      <c r="E28" t="s">
        <v>86</v>
      </c>
      <c r="F28" t="s">
        <v>87</v>
      </c>
      <c r="G28" t="s">
        <v>66</v>
      </c>
      <c r="H28" t="s">
        <v>88</v>
      </c>
      <c r="I28">
        <v>0</v>
      </c>
      <c r="AQ28" t="s">
        <v>118</v>
      </c>
      <c r="AT28" t="s">
        <v>138</v>
      </c>
      <c r="AX28" t="s">
        <v>125</v>
      </c>
      <c r="AY28" t="s">
        <v>66</v>
      </c>
      <c r="AZ28" t="s">
        <v>66</v>
      </c>
      <c r="BA28" t="s">
        <v>80</v>
      </c>
      <c r="BB28" t="s">
        <v>78</v>
      </c>
      <c r="BC28" t="s">
        <v>78</v>
      </c>
      <c r="BD28" t="s">
        <v>80</v>
      </c>
      <c r="BE28" t="s">
        <v>81</v>
      </c>
      <c r="BF28" t="s">
        <v>80</v>
      </c>
      <c r="BG28" t="s">
        <v>80</v>
      </c>
    </row>
    <row r="29" spans="1:59" x14ac:dyDescent="0.35">
      <c r="A29">
        <v>55</v>
      </c>
      <c r="B29" t="str" cm="1">
        <f t="array" ref="B29">_xlfn.IFS(A29&lt;=25,"18-25",A29&lt;=33,"26-33",A29&lt;=41,"34-41",A29&lt;=49,"42-49",A29&gt;49,"50 or above")</f>
        <v>50 or above</v>
      </c>
      <c r="C29" t="s">
        <v>62</v>
      </c>
      <c r="D29" t="s">
        <v>63</v>
      </c>
      <c r="E29" t="s">
        <v>109</v>
      </c>
      <c r="F29" t="s">
        <v>102</v>
      </c>
      <c r="G29" t="s">
        <v>66</v>
      </c>
      <c r="H29" t="s">
        <v>88</v>
      </c>
      <c r="I29">
        <v>0</v>
      </c>
      <c r="AP29" t="s">
        <v>85</v>
      </c>
      <c r="AR29" t="s">
        <v>143</v>
      </c>
      <c r="AX29" t="s">
        <v>88</v>
      </c>
      <c r="AY29" t="s">
        <v>88</v>
      </c>
      <c r="AZ29" t="s">
        <v>66</v>
      </c>
      <c r="BA29" t="s">
        <v>81</v>
      </c>
      <c r="BB29" t="s">
        <v>81</v>
      </c>
      <c r="BC29" t="s">
        <v>81</v>
      </c>
      <c r="BD29" t="s">
        <v>81</v>
      </c>
      <c r="BE29" t="s">
        <v>81</v>
      </c>
      <c r="BF29" t="s">
        <v>81</v>
      </c>
      <c r="BG29" t="s">
        <v>81</v>
      </c>
    </row>
    <row r="30" spans="1:59" x14ac:dyDescent="0.35">
      <c r="A30">
        <v>43</v>
      </c>
      <c r="B30" t="str" cm="1">
        <f t="array" ref="B30">_xlfn.IFS(A30&lt;=25,"18-25",A30&lt;=33,"26-33",A30&lt;=41,"34-41",A30&lt;=49,"42-49",A30&gt;49,"50 or above")</f>
        <v>42-49</v>
      </c>
      <c r="C30" t="s">
        <v>62</v>
      </c>
      <c r="D30" t="s">
        <v>116</v>
      </c>
      <c r="E30" t="s">
        <v>86</v>
      </c>
      <c r="F30" t="s">
        <v>102</v>
      </c>
      <c r="G30" t="s">
        <v>66</v>
      </c>
      <c r="H30" t="s">
        <v>88</v>
      </c>
      <c r="I30">
        <v>0</v>
      </c>
      <c r="AT30" t="s">
        <v>145</v>
      </c>
      <c r="AX30" t="s">
        <v>88</v>
      </c>
      <c r="AY30" t="s">
        <v>125</v>
      </c>
      <c r="AZ30" t="s">
        <v>66</v>
      </c>
      <c r="BA30" t="s">
        <v>80</v>
      </c>
      <c r="BB30" t="s">
        <v>80</v>
      </c>
      <c r="BC30" t="s">
        <v>78</v>
      </c>
      <c r="BD30" t="s">
        <v>80</v>
      </c>
      <c r="BE30" t="s">
        <v>81</v>
      </c>
      <c r="BF30" t="s">
        <v>80</v>
      </c>
      <c r="BG30" t="s">
        <v>78</v>
      </c>
    </row>
    <row r="31" spans="1:59" x14ac:dyDescent="0.35">
      <c r="A31">
        <v>63</v>
      </c>
      <c r="B31" t="str" cm="1">
        <f t="array" ref="B31">_xlfn.IFS(A31&lt;=25,"18-25",A31&lt;=33,"26-33",A31&lt;=41,"34-41",A31&lt;=49,"42-49",A31&gt;49,"50 or above")</f>
        <v>50 or above</v>
      </c>
      <c r="C31" t="s">
        <v>62</v>
      </c>
      <c r="D31" t="s">
        <v>116</v>
      </c>
      <c r="E31" t="s">
        <v>136</v>
      </c>
      <c r="F31" t="s">
        <v>65</v>
      </c>
      <c r="G31" t="s">
        <v>66</v>
      </c>
      <c r="H31" t="s">
        <v>88</v>
      </c>
      <c r="I31">
        <v>0</v>
      </c>
      <c r="AO31" t="s">
        <v>126</v>
      </c>
      <c r="AX31" t="s">
        <v>125</v>
      </c>
      <c r="AY31" t="s">
        <v>88</v>
      </c>
      <c r="AZ31" t="s">
        <v>66</v>
      </c>
      <c r="BA31" t="s">
        <v>80</v>
      </c>
      <c r="BB31" t="s">
        <v>80</v>
      </c>
      <c r="BC31" t="s">
        <v>80</v>
      </c>
      <c r="BD31" t="s">
        <v>79</v>
      </c>
      <c r="BE31" t="s">
        <v>81</v>
      </c>
      <c r="BF31" t="s">
        <v>81</v>
      </c>
      <c r="BG31" t="s">
        <v>78</v>
      </c>
    </row>
    <row r="32" spans="1:59" x14ac:dyDescent="0.35">
      <c r="A32">
        <v>26</v>
      </c>
      <c r="B32" t="str" cm="1">
        <f t="array" ref="B32">_xlfn.IFS(A32&lt;=25,"18-25",A32&lt;=33,"26-33",A32&lt;=41,"34-41",A32&lt;=49,"42-49",A32&gt;49,"50 or above")</f>
        <v>26-33</v>
      </c>
      <c r="C32" t="s">
        <v>62</v>
      </c>
      <c r="D32" t="s">
        <v>63</v>
      </c>
      <c r="E32" t="s">
        <v>86</v>
      </c>
      <c r="F32" t="s">
        <v>87</v>
      </c>
      <c r="G32" t="s">
        <v>66</v>
      </c>
      <c r="H32" t="s">
        <v>88</v>
      </c>
      <c r="I32">
        <v>0</v>
      </c>
      <c r="AO32" t="s">
        <v>84</v>
      </c>
      <c r="AQ32" t="s">
        <v>118</v>
      </c>
      <c r="AX32" t="s">
        <v>125</v>
      </c>
      <c r="AY32" t="s">
        <v>66</v>
      </c>
      <c r="AZ32" t="s">
        <v>88</v>
      </c>
      <c r="BA32" t="s">
        <v>78</v>
      </c>
      <c r="BB32" t="s">
        <v>78</v>
      </c>
      <c r="BC32" t="s">
        <v>81</v>
      </c>
      <c r="BD32" t="s">
        <v>78</v>
      </c>
      <c r="BE32" t="s">
        <v>81</v>
      </c>
      <c r="BF32" t="s">
        <v>78</v>
      </c>
      <c r="BG32" t="s">
        <v>78</v>
      </c>
    </row>
    <row r="33" spans="1:59" x14ac:dyDescent="0.35">
      <c r="A33">
        <v>34</v>
      </c>
      <c r="B33" t="str" cm="1">
        <f t="array" ref="B33">_xlfn.IFS(A33&lt;=25,"18-25",A33&lt;=33,"26-33",A33&lt;=41,"34-41",A33&lt;=49,"42-49",A33&gt;49,"50 or above")</f>
        <v>34-41</v>
      </c>
      <c r="C33" t="s">
        <v>62</v>
      </c>
      <c r="D33" t="s">
        <v>63</v>
      </c>
      <c r="E33" t="s">
        <v>86</v>
      </c>
      <c r="F33" t="s">
        <v>87</v>
      </c>
      <c r="G33" t="s">
        <v>66</v>
      </c>
      <c r="H33" t="s">
        <v>88</v>
      </c>
      <c r="I33">
        <v>0</v>
      </c>
      <c r="AQ33" t="s">
        <v>118</v>
      </c>
      <c r="AT33" t="s">
        <v>138</v>
      </c>
      <c r="AX33" t="s">
        <v>125</v>
      </c>
      <c r="AY33" t="s">
        <v>125</v>
      </c>
      <c r="AZ33" t="s">
        <v>66</v>
      </c>
      <c r="BA33" t="s">
        <v>80</v>
      </c>
      <c r="BB33" t="s">
        <v>80</v>
      </c>
      <c r="BC33" t="s">
        <v>81</v>
      </c>
      <c r="BD33" t="s">
        <v>78</v>
      </c>
      <c r="BE33" t="s">
        <v>81</v>
      </c>
      <c r="BF33" t="s">
        <v>78</v>
      </c>
      <c r="BG33" t="s">
        <v>80</v>
      </c>
    </row>
    <row r="34" spans="1:59" x14ac:dyDescent="0.35">
      <c r="A34">
        <v>57</v>
      </c>
      <c r="B34" t="str" cm="1">
        <f t="array" ref="B34">_xlfn.IFS(A34&lt;=25,"18-25",A34&lt;=33,"26-33",A34&lt;=41,"34-41",A34&lt;=49,"42-49",A34&gt;49,"50 or above")</f>
        <v>50 or above</v>
      </c>
      <c r="C34" t="s">
        <v>62</v>
      </c>
      <c r="D34" t="s">
        <v>63</v>
      </c>
      <c r="E34" t="s">
        <v>109</v>
      </c>
      <c r="F34" t="s">
        <v>65</v>
      </c>
      <c r="G34" t="s">
        <v>66</v>
      </c>
      <c r="H34" t="s">
        <v>88</v>
      </c>
      <c r="I34">
        <v>0</v>
      </c>
      <c r="AR34" t="s">
        <v>124</v>
      </c>
      <c r="AS34" t="s">
        <v>144</v>
      </c>
      <c r="AX34" t="s">
        <v>66</v>
      </c>
      <c r="AY34" t="s">
        <v>88</v>
      </c>
      <c r="AZ34" t="s">
        <v>66</v>
      </c>
      <c r="BA34" t="s">
        <v>81</v>
      </c>
      <c r="BB34" t="s">
        <v>81</v>
      </c>
      <c r="BC34" t="s">
        <v>78</v>
      </c>
      <c r="BD34" t="s">
        <v>81</v>
      </c>
      <c r="BE34" t="s">
        <v>81</v>
      </c>
      <c r="BF34" t="s">
        <v>81</v>
      </c>
      <c r="BG34" t="s">
        <v>78</v>
      </c>
    </row>
    <row r="35" spans="1:59" x14ac:dyDescent="0.35">
      <c r="A35">
        <v>42</v>
      </c>
      <c r="B35" t="str" cm="1">
        <f t="array" ref="B35">_xlfn.IFS(A35&lt;=25,"18-25",A35&lt;=33,"26-33",A35&lt;=41,"34-41",A35&lt;=49,"42-49",A35&gt;49,"50 or above")</f>
        <v>42-49</v>
      </c>
      <c r="C35" t="s">
        <v>62</v>
      </c>
      <c r="D35" t="s">
        <v>116</v>
      </c>
      <c r="E35" t="s">
        <v>86</v>
      </c>
      <c r="F35" t="s">
        <v>102</v>
      </c>
      <c r="G35" t="s">
        <v>66</v>
      </c>
      <c r="H35" t="s">
        <v>88</v>
      </c>
      <c r="I35">
        <v>0</v>
      </c>
      <c r="AO35" t="s">
        <v>84</v>
      </c>
      <c r="AR35" t="s">
        <v>124</v>
      </c>
      <c r="AS35" t="s">
        <v>144</v>
      </c>
      <c r="AX35" t="s">
        <v>88</v>
      </c>
      <c r="AY35" t="s">
        <v>88</v>
      </c>
      <c r="AZ35" t="s">
        <v>66</v>
      </c>
      <c r="BA35" t="s">
        <v>80</v>
      </c>
      <c r="BB35" t="s">
        <v>80</v>
      </c>
      <c r="BC35" t="s">
        <v>81</v>
      </c>
      <c r="BD35" t="s">
        <v>80</v>
      </c>
      <c r="BE35" t="s">
        <v>81</v>
      </c>
      <c r="BF35" t="s">
        <v>80</v>
      </c>
      <c r="BG35" t="s">
        <v>78</v>
      </c>
    </row>
    <row r="36" spans="1:59" x14ac:dyDescent="0.35">
      <c r="A36">
        <v>61</v>
      </c>
      <c r="B36" t="str" cm="1">
        <f t="array" ref="B36">_xlfn.IFS(A36&lt;=25,"18-25",A36&lt;=33,"26-33",A36&lt;=41,"34-41",A36&lt;=49,"42-49",A36&gt;49,"50 or above")</f>
        <v>50 or above</v>
      </c>
      <c r="C36" t="s">
        <v>62</v>
      </c>
      <c r="D36" t="s">
        <v>63</v>
      </c>
      <c r="E36" t="s">
        <v>136</v>
      </c>
      <c r="F36" t="s">
        <v>102</v>
      </c>
      <c r="G36" t="s">
        <v>66</v>
      </c>
      <c r="H36" t="s">
        <v>88</v>
      </c>
      <c r="I36">
        <v>0</v>
      </c>
      <c r="AX36" t="s">
        <v>88</v>
      </c>
      <c r="AY36" t="s">
        <v>125</v>
      </c>
      <c r="AZ36" t="s">
        <v>66</v>
      </c>
      <c r="BA36" t="s">
        <v>78</v>
      </c>
      <c r="BB36" t="s">
        <v>78</v>
      </c>
      <c r="BC36" t="s">
        <v>80</v>
      </c>
      <c r="BD36" t="s">
        <v>78</v>
      </c>
      <c r="BE36" t="s">
        <v>81</v>
      </c>
      <c r="BF36" t="s">
        <v>80</v>
      </c>
      <c r="BG36" t="s">
        <v>78</v>
      </c>
    </row>
    <row r="37" spans="1:59" x14ac:dyDescent="0.35">
      <c r="A37">
        <v>29</v>
      </c>
      <c r="B37" t="str" cm="1">
        <f t="array" ref="B37">_xlfn.IFS(A37&lt;=25,"18-25",A37&lt;=33,"26-33",A37&lt;=41,"34-41",A37&lt;=49,"42-49",A37&gt;49,"50 or above")</f>
        <v>26-33</v>
      </c>
      <c r="C37" t="s">
        <v>62</v>
      </c>
      <c r="D37" t="s">
        <v>63</v>
      </c>
      <c r="E37" t="s">
        <v>86</v>
      </c>
      <c r="F37" t="s">
        <v>87</v>
      </c>
      <c r="G37" t="s">
        <v>66</v>
      </c>
      <c r="H37" t="s">
        <v>88</v>
      </c>
      <c r="I37">
        <v>0</v>
      </c>
      <c r="AQ37" t="s">
        <v>118</v>
      </c>
      <c r="AR37" t="s">
        <v>124</v>
      </c>
      <c r="AX37" t="s">
        <v>66</v>
      </c>
      <c r="AY37" t="s">
        <v>66</v>
      </c>
      <c r="AZ37" t="s">
        <v>88</v>
      </c>
      <c r="BA37" t="s">
        <v>80</v>
      </c>
      <c r="BB37" t="s">
        <v>80</v>
      </c>
      <c r="BC37" t="s">
        <v>81</v>
      </c>
      <c r="BD37" t="s">
        <v>81</v>
      </c>
      <c r="BE37" t="s">
        <v>78</v>
      </c>
      <c r="BF37" t="s">
        <v>80</v>
      </c>
      <c r="BG37" t="s">
        <v>81</v>
      </c>
    </row>
    <row r="38" spans="1:59" x14ac:dyDescent="0.35">
      <c r="A38">
        <v>48</v>
      </c>
      <c r="B38" t="str" cm="1">
        <f t="array" ref="B38">_xlfn.IFS(A38&lt;=25,"18-25",A38&lt;=33,"26-33",A38&lt;=41,"34-41",A38&lt;=49,"42-49",A38&gt;49,"50 or above")</f>
        <v>42-49</v>
      </c>
      <c r="C38" t="s">
        <v>62</v>
      </c>
      <c r="D38" t="s">
        <v>63</v>
      </c>
      <c r="E38" t="s">
        <v>86</v>
      </c>
      <c r="F38" t="s">
        <v>102</v>
      </c>
      <c r="G38" t="s">
        <v>66</v>
      </c>
      <c r="H38" t="s">
        <v>88</v>
      </c>
      <c r="I38">
        <v>0</v>
      </c>
      <c r="AT38" t="s">
        <v>145</v>
      </c>
      <c r="AX38" t="s">
        <v>88</v>
      </c>
      <c r="AY38" t="s">
        <v>125</v>
      </c>
      <c r="AZ38" t="s">
        <v>66</v>
      </c>
      <c r="BA38" t="s">
        <v>80</v>
      </c>
      <c r="BB38" t="s">
        <v>80</v>
      </c>
      <c r="BC38" t="s">
        <v>80</v>
      </c>
      <c r="BD38" t="s">
        <v>80</v>
      </c>
      <c r="BE38" t="s">
        <v>81</v>
      </c>
      <c r="BF38" t="s">
        <v>80</v>
      </c>
      <c r="BG38" t="s">
        <v>78</v>
      </c>
    </row>
    <row r="39" spans="1:59" x14ac:dyDescent="0.35">
      <c r="A39">
        <v>53</v>
      </c>
      <c r="B39" t="str" cm="1">
        <f t="array" ref="B39">_xlfn.IFS(A39&lt;=25,"18-25",A39&lt;=33,"26-33",A39&lt;=41,"34-41",A39&lt;=49,"42-49",A39&gt;49,"50 or above")</f>
        <v>50 or above</v>
      </c>
      <c r="C39" t="s">
        <v>62</v>
      </c>
      <c r="D39" t="s">
        <v>105</v>
      </c>
      <c r="E39" t="s">
        <v>109</v>
      </c>
      <c r="F39" t="s">
        <v>65</v>
      </c>
      <c r="G39" t="s">
        <v>66</v>
      </c>
      <c r="H39" t="s">
        <v>88</v>
      </c>
      <c r="I39">
        <v>0</v>
      </c>
      <c r="AQ39" t="s">
        <v>118</v>
      </c>
      <c r="AT39" t="s">
        <v>145</v>
      </c>
      <c r="AX39" t="s">
        <v>125</v>
      </c>
      <c r="AY39" t="s">
        <v>125</v>
      </c>
      <c r="AZ39" t="s">
        <v>66</v>
      </c>
      <c r="BA39" t="s">
        <v>80</v>
      </c>
      <c r="BB39" t="s">
        <v>80</v>
      </c>
      <c r="BC39" t="s">
        <v>78</v>
      </c>
      <c r="BD39" t="s">
        <v>80</v>
      </c>
      <c r="BE39" t="s">
        <v>81</v>
      </c>
      <c r="BF39" t="s">
        <v>80</v>
      </c>
      <c r="BG39" t="s">
        <v>78</v>
      </c>
    </row>
    <row r="40" spans="1:59" x14ac:dyDescent="0.35">
      <c r="A40">
        <v>37</v>
      </c>
      <c r="B40" t="str" cm="1">
        <f t="array" ref="B40">_xlfn.IFS(A40&lt;=25,"18-25",A40&lt;=33,"26-33",A40&lt;=41,"34-41",A40&lt;=49,"42-49",A40&gt;49,"50 or above")</f>
        <v>34-41</v>
      </c>
      <c r="C40" t="s">
        <v>62</v>
      </c>
      <c r="D40" t="s">
        <v>119</v>
      </c>
      <c r="E40" t="s">
        <v>109</v>
      </c>
      <c r="F40" t="s">
        <v>65</v>
      </c>
      <c r="G40" t="s">
        <v>66</v>
      </c>
      <c r="H40" t="s">
        <v>88</v>
      </c>
      <c r="I40">
        <v>0</v>
      </c>
      <c r="AX40" t="s">
        <v>125</v>
      </c>
      <c r="AY40" t="s">
        <v>66</v>
      </c>
      <c r="AZ40" t="s">
        <v>66</v>
      </c>
      <c r="BA40" t="s">
        <v>80</v>
      </c>
      <c r="BB40" t="s">
        <v>80</v>
      </c>
      <c r="BC40" t="s">
        <v>80</v>
      </c>
      <c r="BD40" t="s">
        <v>80</v>
      </c>
      <c r="BE40" t="s">
        <v>81</v>
      </c>
      <c r="BF40" t="s">
        <v>80</v>
      </c>
      <c r="BG40" t="s">
        <v>80</v>
      </c>
    </row>
    <row r="41" spans="1:59" x14ac:dyDescent="0.35">
      <c r="A41">
        <v>65</v>
      </c>
      <c r="B41" t="str" cm="1">
        <f t="array" ref="B41">_xlfn.IFS(A41&lt;=25,"18-25",A41&lt;=33,"26-33",A41&lt;=41,"34-41",A41&lt;=49,"42-49",A41&gt;49,"50 or above")</f>
        <v>50 or above</v>
      </c>
      <c r="C41" t="s">
        <v>62</v>
      </c>
      <c r="D41" t="s">
        <v>63</v>
      </c>
      <c r="E41" t="s">
        <v>136</v>
      </c>
      <c r="F41" t="s">
        <v>102</v>
      </c>
      <c r="G41" t="s">
        <v>88</v>
      </c>
      <c r="H41" t="s">
        <v>88</v>
      </c>
      <c r="I41">
        <v>0</v>
      </c>
      <c r="AS41" t="s">
        <v>144</v>
      </c>
      <c r="AT41" t="s">
        <v>145</v>
      </c>
      <c r="AX41" t="s">
        <v>88</v>
      </c>
      <c r="AY41" t="s">
        <v>88</v>
      </c>
      <c r="AZ41" t="s">
        <v>66</v>
      </c>
      <c r="BA41" t="s">
        <v>81</v>
      </c>
      <c r="BB41" t="s">
        <v>81</v>
      </c>
      <c r="BC41" t="s">
        <v>81</v>
      </c>
      <c r="BD41" t="s">
        <v>81</v>
      </c>
      <c r="BE41" t="s">
        <v>81</v>
      </c>
      <c r="BF41" t="s">
        <v>81</v>
      </c>
      <c r="BG41" t="s">
        <v>81</v>
      </c>
    </row>
    <row r="42" spans="1:59" x14ac:dyDescent="0.35">
      <c r="A42">
        <v>44</v>
      </c>
      <c r="B42" t="str" cm="1">
        <f t="array" ref="B42">_xlfn.IFS(A42&lt;=25,"18-25",A42&lt;=33,"26-33",A42&lt;=41,"34-41",A42&lt;=49,"42-49",A42&gt;49,"50 or above")</f>
        <v>42-49</v>
      </c>
      <c r="C42" t="s">
        <v>62</v>
      </c>
      <c r="D42" t="s">
        <v>63</v>
      </c>
      <c r="E42" t="s">
        <v>86</v>
      </c>
      <c r="F42" t="s">
        <v>102</v>
      </c>
      <c r="G42" t="s">
        <v>66</v>
      </c>
      <c r="H42" t="s">
        <v>88</v>
      </c>
      <c r="I42">
        <v>0</v>
      </c>
      <c r="AX42" t="s">
        <v>125</v>
      </c>
      <c r="AY42" t="s">
        <v>66</v>
      </c>
      <c r="AZ42" t="s">
        <v>66</v>
      </c>
      <c r="BA42" t="s">
        <v>80</v>
      </c>
      <c r="BB42" t="s">
        <v>80</v>
      </c>
      <c r="BC42" t="s">
        <v>80</v>
      </c>
      <c r="BD42" t="s">
        <v>80</v>
      </c>
      <c r="BE42" t="s">
        <v>81</v>
      </c>
      <c r="BF42" t="s">
        <v>80</v>
      </c>
      <c r="BG42" t="s">
        <v>78</v>
      </c>
    </row>
    <row r="43" spans="1:59" x14ac:dyDescent="0.35">
      <c r="A43">
        <v>51</v>
      </c>
      <c r="B43" t="str" cm="1">
        <f t="array" ref="B43">_xlfn.IFS(A43&lt;=25,"18-25",A43&lt;=33,"26-33",A43&lt;=41,"34-41",A43&lt;=49,"42-49",A43&gt;49,"50 or above")</f>
        <v>50 or above</v>
      </c>
      <c r="C43" t="s">
        <v>62</v>
      </c>
      <c r="D43" t="s">
        <v>63</v>
      </c>
      <c r="E43" t="s">
        <v>86</v>
      </c>
      <c r="F43" t="s">
        <v>102</v>
      </c>
      <c r="G43" t="s">
        <v>88</v>
      </c>
      <c r="H43" t="s">
        <v>88</v>
      </c>
      <c r="I43">
        <v>0</v>
      </c>
      <c r="AN43" t="s">
        <v>83</v>
      </c>
      <c r="AR43" t="s">
        <v>124</v>
      </c>
      <c r="AX43" t="s">
        <v>88</v>
      </c>
      <c r="AY43" t="s">
        <v>88</v>
      </c>
      <c r="AZ43" t="s">
        <v>88</v>
      </c>
      <c r="BA43" t="s">
        <v>81</v>
      </c>
      <c r="BB43" t="s">
        <v>81</v>
      </c>
      <c r="BC43" t="s">
        <v>81</v>
      </c>
      <c r="BD43" t="s">
        <v>81</v>
      </c>
      <c r="BE43" t="s">
        <v>81</v>
      </c>
      <c r="BF43" t="s">
        <v>81</v>
      </c>
      <c r="BG43" t="s">
        <v>81</v>
      </c>
    </row>
    <row r="44" spans="1:59" x14ac:dyDescent="0.35">
      <c r="A44">
        <v>39</v>
      </c>
      <c r="B44" t="str" cm="1">
        <f t="array" ref="B44">_xlfn.IFS(A44&lt;=25,"18-25",A44&lt;=33,"26-33",A44&lt;=41,"34-41",A44&lt;=49,"42-49",A44&gt;49,"50 or above")</f>
        <v>34-41</v>
      </c>
      <c r="C44" t="s">
        <v>62</v>
      </c>
      <c r="D44" t="s">
        <v>116</v>
      </c>
      <c r="E44" t="s">
        <v>109</v>
      </c>
      <c r="F44" t="s">
        <v>102</v>
      </c>
      <c r="G44" t="s">
        <v>66</v>
      </c>
      <c r="H44" t="s">
        <v>88</v>
      </c>
      <c r="I44">
        <v>0</v>
      </c>
      <c r="AT44" t="s">
        <v>145</v>
      </c>
      <c r="AX44" t="s">
        <v>125</v>
      </c>
      <c r="AY44" t="s">
        <v>125</v>
      </c>
      <c r="AZ44" t="s">
        <v>66</v>
      </c>
      <c r="BA44" t="s">
        <v>80</v>
      </c>
      <c r="BB44" t="s">
        <v>80</v>
      </c>
      <c r="BC44" t="s">
        <v>81</v>
      </c>
      <c r="BD44" t="s">
        <v>80</v>
      </c>
      <c r="BE44" t="s">
        <v>81</v>
      </c>
      <c r="BF44" t="s">
        <v>80</v>
      </c>
      <c r="BG44" t="s">
        <v>78</v>
      </c>
    </row>
    <row r="45" spans="1:59" x14ac:dyDescent="0.35">
      <c r="A45">
        <v>58</v>
      </c>
      <c r="B45" t="str" cm="1">
        <f t="array" ref="B45">_xlfn.IFS(A45&lt;=25,"18-25",A45&lt;=33,"26-33",A45&lt;=41,"34-41",A45&lt;=49,"42-49",A45&gt;49,"50 or above")</f>
        <v>50 or above</v>
      </c>
      <c r="C45" t="s">
        <v>62</v>
      </c>
      <c r="D45" t="s">
        <v>63</v>
      </c>
      <c r="E45" t="s">
        <v>136</v>
      </c>
      <c r="F45" t="s">
        <v>65</v>
      </c>
      <c r="G45" t="s">
        <v>88</v>
      </c>
      <c r="H45" t="s">
        <v>88</v>
      </c>
      <c r="I45">
        <v>0</v>
      </c>
      <c r="AQ45" t="s">
        <v>118</v>
      </c>
      <c r="AX45" t="s">
        <v>88</v>
      </c>
      <c r="AY45" t="s">
        <v>88</v>
      </c>
      <c r="AZ45" t="s">
        <v>66</v>
      </c>
      <c r="BA45" t="s">
        <v>81</v>
      </c>
      <c r="BB45" t="s">
        <v>81</v>
      </c>
      <c r="BC45" t="s">
        <v>81</v>
      </c>
      <c r="BD45" t="s">
        <v>81</v>
      </c>
      <c r="BE45" t="s">
        <v>81</v>
      </c>
      <c r="BF45" t="s">
        <v>81</v>
      </c>
      <c r="BG45" t="s">
        <v>81</v>
      </c>
    </row>
    <row r="46" spans="1:59" x14ac:dyDescent="0.35">
      <c r="A46">
        <v>46</v>
      </c>
      <c r="B46" t="str" cm="1">
        <f t="array" ref="B46">_xlfn.IFS(A46&lt;=25,"18-25",A46&lt;=33,"26-33",A46&lt;=41,"34-41",A46&lt;=49,"42-49",A46&gt;49,"50 or above")</f>
        <v>42-49</v>
      </c>
      <c r="C46" t="s">
        <v>62</v>
      </c>
      <c r="D46" t="s">
        <v>63</v>
      </c>
      <c r="E46" t="s">
        <v>86</v>
      </c>
      <c r="F46" t="s">
        <v>102</v>
      </c>
      <c r="G46" t="s">
        <v>66</v>
      </c>
      <c r="H46" t="s">
        <v>88</v>
      </c>
      <c r="I46">
        <v>0</v>
      </c>
      <c r="AX46" t="s">
        <v>66</v>
      </c>
      <c r="AY46" t="s">
        <v>66</v>
      </c>
      <c r="AZ46" t="s">
        <v>66</v>
      </c>
      <c r="BA46" t="s">
        <v>80</v>
      </c>
      <c r="BB46" t="s">
        <v>80</v>
      </c>
      <c r="BC46" t="s">
        <v>80</v>
      </c>
      <c r="BD46" t="s">
        <v>80</v>
      </c>
      <c r="BE46" t="s">
        <v>81</v>
      </c>
      <c r="BF46" t="s">
        <v>80</v>
      </c>
      <c r="BG46" t="s">
        <v>78</v>
      </c>
    </row>
    <row r="47" spans="1:59" x14ac:dyDescent="0.35">
      <c r="A47">
        <v>31</v>
      </c>
      <c r="B47" t="str" cm="1">
        <f t="array" ref="B47">_xlfn.IFS(A47&lt;=25,"18-25",A47&lt;=33,"26-33",A47&lt;=41,"34-41",A47&lt;=49,"42-49",A47&gt;49,"50 or above")</f>
        <v>26-33</v>
      </c>
      <c r="C47" t="s">
        <v>62</v>
      </c>
      <c r="D47" t="s">
        <v>105</v>
      </c>
      <c r="E47" t="s">
        <v>86</v>
      </c>
      <c r="F47" t="s">
        <v>102</v>
      </c>
      <c r="G47" t="s">
        <v>66</v>
      </c>
      <c r="H47" t="s">
        <v>88</v>
      </c>
      <c r="I47">
        <v>0</v>
      </c>
      <c r="AT47" t="s">
        <v>145</v>
      </c>
      <c r="AX47" t="s">
        <v>66</v>
      </c>
      <c r="AY47" t="s">
        <v>66</v>
      </c>
      <c r="AZ47" t="s">
        <v>66</v>
      </c>
      <c r="BA47" t="s">
        <v>80</v>
      </c>
      <c r="BB47" t="s">
        <v>80</v>
      </c>
      <c r="BC47" t="s">
        <v>81</v>
      </c>
      <c r="BD47" t="s">
        <v>80</v>
      </c>
      <c r="BE47" t="s">
        <v>81</v>
      </c>
      <c r="BF47" t="s">
        <v>81</v>
      </c>
      <c r="BG47" t="s">
        <v>78</v>
      </c>
    </row>
    <row r="48" spans="1:59" x14ac:dyDescent="0.35">
      <c r="A48">
        <v>62</v>
      </c>
      <c r="B48" t="str" cm="1">
        <f t="array" ref="B48">_xlfn.IFS(A48&lt;=25,"18-25",A48&lt;=33,"26-33",A48&lt;=41,"34-41",A48&lt;=49,"42-49",A48&gt;49,"50 or above")</f>
        <v>50 or above</v>
      </c>
      <c r="C48" t="s">
        <v>62</v>
      </c>
      <c r="D48" t="s">
        <v>63</v>
      </c>
      <c r="E48" t="s">
        <v>136</v>
      </c>
      <c r="F48" t="s">
        <v>65</v>
      </c>
      <c r="G48" t="s">
        <v>88</v>
      </c>
      <c r="H48" t="s">
        <v>88</v>
      </c>
      <c r="I48">
        <v>0</v>
      </c>
      <c r="AQ48" t="s">
        <v>118</v>
      </c>
      <c r="AX48" t="s">
        <v>125</v>
      </c>
      <c r="AY48" t="s">
        <v>125</v>
      </c>
      <c r="AZ48" t="s">
        <v>66</v>
      </c>
      <c r="BA48" t="s">
        <v>80</v>
      </c>
      <c r="BB48" t="s">
        <v>80</v>
      </c>
      <c r="BC48" t="s">
        <v>78</v>
      </c>
      <c r="BD48" t="s">
        <v>80</v>
      </c>
      <c r="BE48" t="s">
        <v>81</v>
      </c>
      <c r="BF48" t="s">
        <v>80</v>
      </c>
      <c r="BG48" t="s">
        <v>80</v>
      </c>
    </row>
    <row r="49" spans="1:59" x14ac:dyDescent="0.35">
      <c r="A49">
        <v>55</v>
      </c>
      <c r="B49" t="str" cm="1">
        <f t="array" ref="B49">_xlfn.IFS(A49&lt;=25,"18-25",A49&lt;=33,"26-33",A49&lt;=41,"34-41",A49&lt;=49,"42-49",A49&gt;49,"50 or above")</f>
        <v>50 or above</v>
      </c>
      <c r="C49" t="s">
        <v>62</v>
      </c>
      <c r="D49" t="s">
        <v>119</v>
      </c>
      <c r="E49" t="s">
        <v>109</v>
      </c>
      <c r="F49" t="s">
        <v>102</v>
      </c>
      <c r="G49" t="s">
        <v>66</v>
      </c>
      <c r="H49" t="s">
        <v>88</v>
      </c>
      <c r="I49">
        <v>0</v>
      </c>
      <c r="AT49" t="s">
        <v>145</v>
      </c>
      <c r="AX49" t="s">
        <v>125</v>
      </c>
      <c r="AY49" t="s">
        <v>66</v>
      </c>
      <c r="AZ49" t="s">
        <v>66</v>
      </c>
      <c r="BA49" t="s">
        <v>80</v>
      </c>
      <c r="BB49" t="s">
        <v>80</v>
      </c>
      <c r="BC49" t="s">
        <v>80</v>
      </c>
      <c r="BD49" t="s">
        <v>80</v>
      </c>
      <c r="BE49" t="s">
        <v>81</v>
      </c>
      <c r="BF49" t="s">
        <v>80</v>
      </c>
      <c r="BG49" t="s">
        <v>80</v>
      </c>
    </row>
    <row r="50" spans="1:59" x14ac:dyDescent="0.35">
      <c r="A50">
        <v>41</v>
      </c>
      <c r="B50" t="str" cm="1">
        <f t="array" ref="B50">_xlfn.IFS(A50&lt;=25,"18-25",A50&lt;=33,"26-33",A50&lt;=41,"34-41",A50&lt;=49,"42-49",A50&gt;49,"50 or above")</f>
        <v>34-41</v>
      </c>
      <c r="C50" t="s">
        <v>62</v>
      </c>
      <c r="D50" t="s">
        <v>63</v>
      </c>
      <c r="E50" t="s">
        <v>86</v>
      </c>
      <c r="F50" t="s">
        <v>87</v>
      </c>
      <c r="G50" t="s">
        <v>66</v>
      </c>
      <c r="H50" t="s">
        <v>88</v>
      </c>
      <c r="I50">
        <v>0</v>
      </c>
      <c r="AQ50" t="s">
        <v>118</v>
      </c>
      <c r="AT50" t="s">
        <v>138</v>
      </c>
      <c r="AX50" t="s">
        <v>66</v>
      </c>
      <c r="AY50" t="s">
        <v>66</v>
      </c>
      <c r="AZ50" t="s">
        <v>66</v>
      </c>
      <c r="BA50" t="s">
        <v>80</v>
      </c>
      <c r="BB50" t="s">
        <v>80</v>
      </c>
      <c r="BC50" t="s">
        <v>80</v>
      </c>
      <c r="BD50" t="s">
        <v>80</v>
      </c>
      <c r="BE50" t="s">
        <v>81</v>
      </c>
      <c r="BF50" t="s">
        <v>80</v>
      </c>
      <c r="BG50" t="s">
        <v>80</v>
      </c>
    </row>
    <row r="51" spans="1:59" x14ac:dyDescent="0.35">
      <c r="A51">
        <v>68</v>
      </c>
      <c r="B51" t="str" cm="1">
        <f t="array" ref="B51">_xlfn.IFS(A51&lt;=25,"18-25",A51&lt;=33,"26-33",A51&lt;=41,"34-41",A51&lt;=49,"42-49",A51&gt;49,"50 or above")</f>
        <v>50 or above</v>
      </c>
      <c r="C51" t="s">
        <v>62</v>
      </c>
      <c r="D51" t="s">
        <v>63</v>
      </c>
      <c r="E51" t="s">
        <v>136</v>
      </c>
      <c r="F51" t="s">
        <v>102</v>
      </c>
      <c r="G51" t="s">
        <v>66</v>
      </c>
      <c r="H51" t="s">
        <v>88</v>
      </c>
      <c r="I51">
        <v>0</v>
      </c>
      <c r="AN51" t="s">
        <v>83</v>
      </c>
      <c r="AX51" t="s">
        <v>125</v>
      </c>
      <c r="AY51" t="s">
        <v>88</v>
      </c>
      <c r="AZ51" t="s">
        <v>66</v>
      </c>
      <c r="BA51" t="s">
        <v>79</v>
      </c>
      <c r="BB51" t="s">
        <v>79</v>
      </c>
      <c r="BC51" t="s">
        <v>79</v>
      </c>
      <c r="BD51" t="s">
        <v>79</v>
      </c>
      <c r="BE51" t="s">
        <v>79</v>
      </c>
      <c r="BF51" t="s">
        <v>79</v>
      </c>
      <c r="BG51" t="s">
        <v>78</v>
      </c>
    </row>
    <row r="52" spans="1:59" x14ac:dyDescent="0.35">
      <c r="A52">
        <v>27</v>
      </c>
      <c r="B52" t="str" cm="1">
        <f t="array" ref="B52">_xlfn.IFS(A52&lt;=25,"18-25",A52&lt;=33,"26-33",A52&lt;=41,"34-41",A52&lt;=49,"42-49",A52&gt;49,"50 or above")</f>
        <v>26-33</v>
      </c>
      <c r="C52" t="s">
        <v>62</v>
      </c>
      <c r="D52" t="s">
        <v>63</v>
      </c>
      <c r="E52" t="s">
        <v>86</v>
      </c>
      <c r="F52" t="s">
        <v>127</v>
      </c>
      <c r="G52" t="s">
        <v>66</v>
      </c>
      <c r="H52" t="s">
        <v>88</v>
      </c>
      <c r="I52">
        <v>0</v>
      </c>
      <c r="AO52" t="s">
        <v>84</v>
      </c>
      <c r="AR52" t="s">
        <v>143</v>
      </c>
      <c r="AV52" t="s">
        <v>142</v>
      </c>
      <c r="AX52" t="s">
        <v>125</v>
      </c>
      <c r="AY52" t="s">
        <v>66</v>
      </c>
      <c r="AZ52" t="s">
        <v>88</v>
      </c>
      <c r="BA52" t="s">
        <v>78</v>
      </c>
      <c r="BB52" t="s">
        <v>80</v>
      </c>
      <c r="BC52" t="s">
        <v>81</v>
      </c>
      <c r="BD52" t="s">
        <v>80</v>
      </c>
      <c r="BE52" t="s">
        <v>101</v>
      </c>
      <c r="BF52" t="s">
        <v>78</v>
      </c>
      <c r="BG52" t="s">
        <v>80</v>
      </c>
    </row>
    <row r="53" spans="1:59" x14ac:dyDescent="0.35">
      <c r="A53">
        <v>49</v>
      </c>
      <c r="B53" t="str" cm="1">
        <f t="array" ref="B53">_xlfn.IFS(A53&lt;=25,"18-25",A53&lt;=33,"26-33",A53&lt;=41,"34-41",A53&lt;=49,"42-49",A53&gt;49,"50 or above")</f>
        <v>42-49</v>
      </c>
      <c r="C53" t="s">
        <v>62</v>
      </c>
      <c r="D53" t="s">
        <v>63</v>
      </c>
      <c r="E53" t="s">
        <v>86</v>
      </c>
      <c r="F53" t="s">
        <v>87</v>
      </c>
      <c r="G53" t="s">
        <v>66</v>
      </c>
      <c r="H53" t="s">
        <v>88</v>
      </c>
      <c r="I53">
        <v>0</v>
      </c>
      <c r="AT53" t="s">
        <v>145</v>
      </c>
      <c r="AX53" t="s">
        <v>88</v>
      </c>
      <c r="AY53" t="s">
        <v>88</v>
      </c>
      <c r="AZ53" t="s">
        <v>88</v>
      </c>
      <c r="BA53" t="s">
        <v>101</v>
      </c>
      <c r="BB53" t="s">
        <v>101</v>
      </c>
      <c r="BC53" t="s">
        <v>101</v>
      </c>
      <c r="BD53" t="s">
        <v>101</v>
      </c>
      <c r="BE53" t="s">
        <v>101</v>
      </c>
      <c r="BF53" t="s">
        <v>101</v>
      </c>
      <c r="BG53" t="s">
        <v>80</v>
      </c>
    </row>
    <row r="54" spans="1:59" x14ac:dyDescent="0.35">
      <c r="A54">
        <v>59</v>
      </c>
      <c r="B54" t="str" cm="1">
        <f t="array" ref="B54">_xlfn.IFS(A54&lt;=25,"18-25",A54&lt;=33,"26-33",A54&lt;=41,"34-41",A54&lt;=49,"42-49",A54&gt;49,"50 or above")</f>
        <v>50 or above</v>
      </c>
      <c r="C54" t="s">
        <v>62</v>
      </c>
      <c r="D54" t="s">
        <v>119</v>
      </c>
      <c r="E54" t="s">
        <v>136</v>
      </c>
      <c r="F54" t="s">
        <v>65</v>
      </c>
      <c r="G54" t="s">
        <v>66</v>
      </c>
      <c r="H54" t="s">
        <v>88</v>
      </c>
      <c r="I54">
        <v>0</v>
      </c>
      <c r="AN54" t="s">
        <v>83</v>
      </c>
      <c r="AX54" t="s">
        <v>66</v>
      </c>
      <c r="AY54" t="s">
        <v>88</v>
      </c>
      <c r="AZ54" t="s">
        <v>66</v>
      </c>
      <c r="BA54" t="s">
        <v>79</v>
      </c>
      <c r="BB54" t="s">
        <v>79</v>
      </c>
      <c r="BC54" t="s">
        <v>81</v>
      </c>
      <c r="BD54" t="s">
        <v>79</v>
      </c>
      <c r="BE54" t="s">
        <v>81</v>
      </c>
      <c r="BF54" t="s">
        <v>79</v>
      </c>
      <c r="BG54" t="s">
        <v>78</v>
      </c>
    </row>
    <row r="55" spans="1:59" x14ac:dyDescent="0.35">
      <c r="A55">
        <v>36</v>
      </c>
      <c r="B55" t="str" cm="1">
        <f t="array" ref="B55">_xlfn.IFS(A55&lt;=25,"18-25",A55&lt;=33,"26-33",A55&lt;=41,"34-41",A55&lt;=49,"42-49",A55&gt;49,"50 or above")</f>
        <v>34-41</v>
      </c>
      <c r="C55" t="s">
        <v>62</v>
      </c>
      <c r="D55" t="s">
        <v>119</v>
      </c>
      <c r="E55" t="s">
        <v>86</v>
      </c>
      <c r="F55" t="s">
        <v>90</v>
      </c>
      <c r="G55" t="s">
        <v>66</v>
      </c>
      <c r="H55" t="s">
        <v>88</v>
      </c>
      <c r="I55">
        <v>0</v>
      </c>
      <c r="AX55" t="s">
        <v>125</v>
      </c>
      <c r="AY55" t="s">
        <v>125</v>
      </c>
      <c r="AZ55" t="s">
        <v>88</v>
      </c>
      <c r="BA55" t="s">
        <v>78</v>
      </c>
      <c r="BB55" t="s">
        <v>80</v>
      </c>
      <c r="BC55" t="s">
        <v>81</v>
      </c>
      <c r="BD55" t="s">
        <v>78</v>
      </c>
      <c r="BE55" t="s">
        <v>81</v>
      </c>
      <c r="BF55" t="s">
        <v>78</v>
      </c>
      <c r="BG55" t="s">
        <v>78</v>
      </c>
    </row>
    <row r="56" spans="1:59" x14ac:dyDescent="0.35">
      <c r="A56">
        <v>27</v>
      </c>
      <c r="B56" t="str" cm="1">
        <f t="array" ref="B56">_xlfn.IFS(A56&lt;=25,"18-25",A56&lt;=33,"26-33",A56&lt;=41,"34-41",A56&lt;=49,"42-49",A56&gt;49,"50 or above")</f>
        <v>26-33</v>
      </c>
      <c r="C56" t="s">
        <v>89</v>
      </c>
      <c r="D56" t="s">
        <v>105</v>
      </c>
      <c r="E56" t="s">
        <v>86</v>
      </c>
      <c r="F56" t="s">
        <v>127</v>
      </c>
      <c r="G56" t="s">
        <v>66</v>
      </c>
      <c r="H56" t="s">
        <v>88</v>
      </c>
      <c r="I56">
        <v>0</v>
      </c>
      <c r="AX56" t="s">
        <v>88</v>
      </c>
      <c r="AY56" t="s">
        <v>88</v>
      </c>
      <c r="AZ56" t="s">
        <v>66</v>
      </c>
      <c r="BA56" t="s">
        <v>79</v>
      </c>
      <c r="BB56" t="s">
        <v>79</v>
      </c>
      <c r="BC56" t="s">
        <v>101</v>
      </c>
      <c r="BD56" t="s">
        <v>101</v>
      </c>
      <c r="BE56" t="s">
        <v>101</v>
      </c>
      <c r="BF56" t="s">
        <v>101</v>
      </c>
      <c r="BG56" t="s">
        <v>80</v>
      </c>
    </row>
    <row r="57" spans="1:59" x14ac:dyDescent="0.35">
      <c r="A57">
        <v>45</v>
      </c>
      <c r="B57" t="str" cm="1">
        <f t="array" ref="B57">_xlfn.IFS(A57&lt;=25,"18-25",A57&lt;=33,"26-33",A57&lt;=41,"34-41",A57&lt;=49,"42-49",A57&gt;49,"50 or above")</f>
        <v>42-49</v>
      </c>
      <c r="C57" t="s">
        <v>62</v>
      </c>
      <c r="D57" t="s">
        <v>63</v>
      </c>
      <c r="E57" t="s">
        <v>86</v>
      </c>
      <c r="F57" t="s">
        <v>102</v>
      </c>
      <c r="G57" t="s">
        <v>66</v>
      </c>
      <c r="H57" t="s">
        <v>88</v>
      </c>
      <c r="I57">
        <v>0</v>
      </c>
      <c r="AO57" t="s">
        <v>84</v>
      </c>
      <c r="AR57" t="s">
        <v>143</v>
      </c>
      <c r="AX57" t="s">
        <v>125</v>
      </c>
      <c r="AY57" t="s">
        <v>125</v>
      </c>
      <c r="AZ57" t="s">
        <v>66</v>
      </c>
      <c r="BA57" t="s">
        <v>80</v>
      </c>
      <c r="BB57" t="s">
        <v>80</v>
      </c>
      <c r="BC57" t="s">
        <v>80</v>
      </c>
      <c r="BD57" t="s">
        <v>80</v>
      </c>
      <c r="BE57" t="s">
        <v>81</v>
      </c>
      <c r="BF57" t="s">
        <v>80</v>
      </c>
      <c r="BG57" t="s">
        <v>78</v>
      </c>
    </row>
    <row r="58" spans="1:59" x14ac:dyDescent="0.35">
      <c r="A58">
        <v>52</v>
      </c>
      <c r="B58" t="str" cm="1">
        <f t="array" ref="B58">_xlfn.IFS(A58&lt;=25,"18-25",A58&lt;=33,"26-33",A58&lt;=41,"34-41",A58&lt;=49,"42-49",A58&gt;49,"50 or above")</f>
        <v>50 or above</v>
      </c>
      <c r="C58" t="s">
        <v>62</v>
      </c>
      <c r="D58" t="s">
        <v>105</v>
      </c>
      <c r="E58" t="s">
        <v>109</v>
      </c>
      <c r="F58" t="s">
        <v>102</v>
      </c>
      <c r="G58" t="s">
        <v>66</v>
      </c>
      <c r="H58" t="s">
        <v>88</v>
      </c>
      <c r="I58">
        <v>0</v>
      </c>
      <c r="AQ58" t="s">
        <v>118</v>
      </c>
      <c r="AT58" t="s">
        <v>138</v>
      </c>
      <c r="AX58" t="s">
        <v>125</v>
      </c>
      <c r="AY58" t="s">
        <v>88</v>
      </c>
      <c r="AZ58" t="s">
        <v>66</v>
      </c>
      <c r="BA58" t="s">
        <v>80</v>
      </c>
      <c r="BB58" t="s">
        <v>80</v>
      </c>
      <c r="BC58" t="s">
        <v>78</v>
      </c>
      <c r="BD58" t="s">
        <v>80</v>
      </c>
      <c r="BE58" t="s">
        <v>81</v>
      </c>
      <c r="BF58" t="s">
        <v>80</v>
      </c>
      <c r="BG58" t="s">
        <v>78</v>
      </c>
    </row>
    <row r="59" spans="1:59" x14ac:dyDescent="0.35">
      <c r="A59">
        <v>63</v>
      </c>
      <c r="B59" t="str" cm="1">
        <f t="array" ref="B59">_xlfn.IFS(A59&lt;=25,"18-25",A59&lt;=33,"26-33",A59&lt;=41,"34-41",A59&lt;=49,"42-49",A59&gt;49,"50 or above")</f>
        <v>50 or above</v>
      </c>
      <c r="C59" t="s">
        <v>62</v>
      </c>
      <c r="D59" t="s">
        <v>119</v>
      </c>
      <c r="E59" t="s">
        <v>136</v>
      </c>
      <c r="F59" t="s">
        <v>87</v>
      </c>
      <c r="G59" t="s">
        <v>88</v>
      </c>
      <c r="H59" t="s">
        <v>88</v>
      </c>
      <c r="I59">
        <v>0</v>
      </c>
      <c r="AW59" t="s">
        <v>149</v>
      </c>
      <c r="AX59" t="s">
        <v>88</v>
      </c>
      <c r="AY59" t="s">
        <v>125</v>
      </c>
      <c r="AZ59" t="s">
        <v>88</v>
      </c>
      <c r="BA59" t="s">
        <v>81</v>
      </c>
      <c r="BB59" t="s">
        <v>81</v>
      </c>
      <c r="BC59" t="s">
        <v>81</v>
      </c>
      <c r="BD59" t="s">
        <v>81</v>
      </c>
      <c r="BE59" t="s">
        <v>81</v>
      </c>
      <c r="BF59" t="s">
        <v>81</v>
      </c>
      <c r="BG59" t="s">
        <v>81</v>
      </c>
    </row>
    <row r="60" spans="1:59" x14ac:dyDescent="0.35">
      <c r="A60">
        <v>33</v>
      </c>
      <c r="B60" t="str" cm="1">
        <f t="array" ref="B60">_xlfn.IFS(A60&lt;=25,"18-25",A60&lt;=33,"26-33",A60&lt;=41,"34-41",A60&lt;=49,"42-49",A60&gt;49,"50 or above")</f>
        <v>26-33</v>
      </c>
      <c r="C60" t="s">
        <v>62</v>
      </c>
      <c r="D60" t="s">
        <v>105</v>
      </c>
      <c r="E60" t="s">
        <v>86</v>
      </c>
      <c r="F60" t="s">
        <v>87</v>
      </c>
      <c r="G60" t="s">
        <v>66</v>
      </c>
      <c r="H60" t="s">
        <v>88</v>
      </c>
      <c r="I60">
        <v>0</v>
      </c>
      <c r="AO60" t="s">
        <v>84</v>
      </c>
      <c r="AR60" t="s">
        <v>124</v>
      </c>
      <c r="AS60" t="s">
        <v>144</v>
      </c>
      <c r="AV60" t="s">
        <v>142</v>
      </c>
      <c r="AX60" t="s">
        <v>66</v>
      </c>
      <c r="AY60" t="s">
        <v>66</v>
      </c>
      <c r="AZ60" t="s">
        <v>66</v>
      </c>
      <c r="BA60" t="s">
        <v>78</v>
      </c>
      <c r="BB60" t="s">
        <v>78</v>
      </c>
      <c r="BC60" t="s">
        <v>81</v>
      </c>
      <c r="BD60" t="s">
        <v>78</v>
      </c>
      <c r="BE60" t="s">
        <v>78</v>
      </c>
      <c r="BF60" t="s">
        <v>78</v>
      </c>
      <c r="BG60" t="s">
        <v>78</v>
      </c>
    </row>
    <row r="61" spans="1:59" x14ac:dyDescent="0.35">
      <c r="A61">
        <v>47</v>
      </c>
      <c r="B61" t="str" cm="1">
        <f t="array" ref="B61">_xlfn.IFS(A61&lt;=25,"18-25",A61&lt;=33,"26-33",A61&lt;=41,"34-41",A61&lt;=49,"42-49",A61&gt;49,"50 or above")</f>
        <v>42-49</v>
      </c>
      <c r="C61" t="s">
        <v>62</v>
      </c>
      <c r="D61" t="s">
        <v>63</v>
      </c>
      <c r="E61" t="s">
        <v>109</v>
      </c>
      <c r="F61" t="s">
        <v>102</v>
      </c>
      <c r="G61" t="s">
        <v>66</v>
      </c>
      <c r="H61" t="s">
        <v>88</v>
      </c>
      <c r="I61">
        <v>0</v>
      </c>
      <c r="AN61" t="s">
        <v>83</v>
      </c>
      <c r="AX61" t="s">
        <v>88</v>
      </c>
      <c r="AY61" t="s">
        <v>88</v>
      </c>
      <c r="AZ61" t="s">
        <v>66</v>
      </c>
      <c r="BA61" t="s">
        <v>101</v>
      </c>
      <c r="BB61" t="s">
        <v>101</v>
      </c>
      <c r="BC61" t="s">
        <v>79</v>
      </c>
      <c r="BD61" t="s">
        <v>79</v>
      </c>
      <c r="BE61" t="s">
        <v>101</v>
      </c>
      <c r="BF61" t="s">
        <v>101</v>
      </c>
      <c r="BG61" t="s">
        <v>78</v>
      </c>
    </row>
    <row r="62" spans="1:59" x14ac:dyDescent="0.35">
      <c r="A62">
        <v>28</v>
      </c>
      <c r="B62" t="str" cm="1">
        <f t="array" ref="B62">_xlfn.IFS(A62&lt;=25,"18-25",A62&lt;=33,"26-33",A62&lt;=41,"34-41",A62&lt;=49,"42-49",A62&gt;49,"50 or above")</f>
        <v>26-33</v>
      </c>
      <c r="C62" t="s">
        <v>62</v>
      </c>
      <c r="D62" t="s">
        <v>63</v>
      </c>
      <c r="E62" t="s">
        <v>86</v>
      </c>
      <c r="F62" t="s">
        <v>90</v>
      </c>
      <c r="G62" t="s">
        <v>66</v>
      </c>
      <c r="H62" t="s">
        <v>88</v>
      </c>
      <c r="I62">
        <v>0</v>
      </c>
      <c r="AQ62" t="s">
        <v>118</v>
      </c>
      <c r="AX62" t="s">
        <v>125</v>
      </c>
      <c r="AY62" t="s">
        <v>66</v>
      </c>
      <c r="AZ62" t="s">
        <v>88</v>
      </c>
      <c r="BA62" t="s">
        <v>78</v>
      </c>
      <c r="BB62" t="s">
        <v>80</v>
      </c>
      <c r="BC62" t="s">
        <v>80</v>
      </c>
      <c r="BD62" t="s">
        <v>78</v>
      </c>
      <c r="BE62" t="s">
        <v>81</v>
      </c>
      <c r="BF62" t="s">
        <v>78</v>
      </c>
      <c r="BG62" t="s">
        <v>78</v>
      </c>
    </row>
    <row r="63" spans="1:59" x14ac:dyDescent="0.35">
      <c r="A63">
        <v>38</v>
      </c>
      <c r="B63" t="str" cm="1">
        <f t="array" ref="B63">_xlfn.IFS(A63&lt;=25,"18-25",A63&lt;=33,"26-33",A63&lt;=41,"34-41",A63&lt;=49,"42-49",A63&gt;49,"50 or above")</f>
        <v>34-41</v>
      </c>
      <c r="C63" t="s">
        <v>62</v>
      </c>
      <c r="D63" t="s">
        <v>63</v>
      </c>
      <c r="E63" t="s">
        <v>86</v>
      </c>
      <c r="F63" t="s">
        <v>102</v>
      </c>
      <c r="G63" t="s">
        <v>66</v>
      </c>
      <c r="H63" t="s">
        <v>88</v>
      </c>
      <c r="I63">
        <v>0</v>
      </c>
      <c r="AQ63" t="s">
        <v>118</v>
      </c>
      <c r="AX63" t="s">
        <v>125</v>
      </c>
      <c r="AY63" t="s">
        <v>88</v>
      </c>
      <c r="AZ63" t="s">
        <v>66</v>
      </c>
      <c r="BA63" t="s">
        <v>81</v>
      </c>
      <c r="BB63" t="s">
        <v>81</v>
      </c>
      <c r="BC63" t="s">
        <v>80</v>
      </c>
      <c r="BD63" t="s">
        <v>81</v>
      </c>
      <c r="BE63" t="s">
        <v>81</v>
      </c>
      <c r="BF63" t="s">
        <v>81</v>
      </c>
      <c r="BG63" t="s">
        <v>80</v>
      </c>
    </row>
    <row r="64" spans="1:59" x14ac:dyDescent="0.35">
      <c r="A64">
        <v>46</v>
      </c>
      <c r="B64" t="str" cm="1">
        <f t="array" ref="B64">_xlfn.IFS(A64&lt;=25,"18-25",A64&lt;=33,"26-33",A64&lt;=41,"34-41",A64&lt;=49,"42-49",A64&gt;49,"50 or above")</f>
        <v>42-49</v>
      </c>
      <c r="C64" t="s">
        <v>62</v>
      </c>
      <c r="D64" t="s">
        <v>116</v>
      </c>
      <c r="E64" t="s">
        <v>109</v>
      </c>
      <c r="F64" t="s">
        <v>65</v>
      </c>
      <c r="G64" t="s">
        <v>66</v>
      </c>
      <c r="H64" t="s">
        <v>88</v>
      </c>
      <c r="I64">
        <v>0</v>
      </c>
      <c r="AT64" t="s">
        <v>145</v>
      </c>
      <c r="AX64" t="s">
        <v>125</v>
      </c>
      <c r="AY64" t="s">
        <v>125</v>
      </c>
      <c r="AZ64" t="s">
        <v>66</v>
      </c>
      <c r="BA64" t="s">
        <v>80</v>
      </c>
      <c r="BB64" t="s">
        <v>80</v>
      </c>
      <c r="BC64" t="s">
        <v>80</v>
      </c>
      <c r="BD64" t="s">
        <v>80</v>
      </c>
      <c r="BE64" t="s">
        <v>81</v>
      </c>
      <c r="BF64" t="s">
        <v>80</v>
      </c>
      <c r="BG64" t="s">
        <v>78</v>
      </c>
    </row>
    <row r="65" spans="1:59" x14ac:dyDescent="0.35">
      <c r="A65">
        <v>62</v>
      </c>
      <c r="B65" t="str" cm="1">
        <f t="array" ref="B65">_xlfn.IFS(A65&lt;=25,"18-25",A65&lt;=33,"26-33",A65&lt;=41,"34-41",A65&lt;=49,"42-49",A65&gt;49,"50 or above")</f>
        <v>50 or above</v>
      </c>
      <c r="C65" t="s">
        <v>62</v>
      </c>
      <c r="D65" t="s">
        <v>63</v>
      </c>
      <c r="E65" t="s">
        <v>136</v>
      </c>
      <c r="F65" t="s">
        <v>102</v>
      </c>
      <c r="G65" t="s">
        <v>88</v>
      </c>
      <c r="H65" t="s">
        <v>88</v>
      </c>
      <c r="I65">
        <v>0</v>
      </c>
      <c r="AQ65" t="s">
        <v>118</v>
      </c>
      <c r="AX65" t="s">
        <v>88</v>
      </c>
      <c r="AY65" t="s">
        <v>88</v>
      </c>
      <c r="AZ65" t="s">
        <v>88</v>
      </c>
      <c r="BA65" t="s">
        <v>81</v>
      </c>
      <c r="BB65" t="s">
        <v>81</v>
      </c>
      <c r="BC65" t="s">
        <v>81</v>
      </c>
      <c r="BD65" t="s">
        <v>81</v>
      </c>
      <c r="BE65" t="s">
        <v>81</v>
      </c>
      <c r="BF65" t="s">
        <v>81</v>
      </c>
      <c r="BG65" t="s">
        <v>81</v>
      </c>
    </row>
    <row r="66" spans="1:59" x14ac:dyDescent="0.35">
      <c r="A66">
        <v>42</v>
      </c>
      <c r="B66" t="str" cm="1">
        <f t="array" ref="B66">_xlfn.IFS(A66&lt;=25,"18-25",A66&lt;=33,"26-33",A66&lt;=41,"34-41",A66&lt;=49,"42-49",A66&gt;49,"50 or above")</f>
        <v>42-49</v>
      </c>
      <c r="C66" t="s">
        <v>62</v>
      </c>
      <c r="D66" t="s">
        <v>63</v>
      </c>
      <c r="E66" t="s">
        <v>86</v>
      </c>
      <c r="F66" t="s">
        <v>87</v>
      </c>
      <c r="G66" t="s">
        <v>66</v>
      </c>
      <c r="H66" t="s">
        <v>88</v>
      </c>
      <c r="I66">
        <v>0</v>
      </c>
      <c r="AQ66" t="s">
        <v>118</v>
      </c>
      <c r="AX66" t="s">
        <v>125</v>
      </c>
      <c r="AY66" t="s">
        <v>125</v>
      </c>
      <c r="AZ66" t="s">
        <v>66</v>
      </c>
      <c r="BA66" t="s">
        <v>80</v>
      </c>
      <c r="BB66" t="s">
        <v>80</v>
      </c>
      <c r="BC66" t="s">
        <v>80</v>
      </c>
      <c r="BD66" t="s">
        <v>80</v>
      </c>
      <c r="BE66" t="s">
        <v>81</v>
      </c>
      <c r="BF66" t="s">
        <v>80</v>
      </c>
      <c r="BG66" t="s">
        <v>78</v>
      </c>
    </row>
    <row r="67" spans="1:59" x14ac:dyDescent="0.35">
      <c r="A67">
        <v>52</v>
      </c>
      <c r="B67" t="str" cm="1">
        <f t="array" ref="B67">_xlfn.IFS(A67&lt;=25,"18-25",A67&lt;=33,"26-33",A67&lt;=41,"34-41",A67&lt;=49,"42-49",A67&gt;49,"50 or above")</f>
        <v>50 or above</v>
      </c>
      <c r="C67" t="s">
        <v>62</v>
      </c>
      <c r="D67" t="s">
        <v>63</v>
      </c>
      <c r="E67" t="s">
        <v>86</v>
      </c>
      <c r="F67" t="s">
        <v>102</v>
      </c>
      <c r="G67" t="s">
        <v>66</v>
      </c>
      <c r="H67" t="s">
        <v>88</v>
      </c>
      <c r="I67">
        <v>0</v>
      </c>
      <c r="AW67" t="s">
        <v>149</v>
      </c>
      <c r="AX67" t="s">
        <v>125</v>
      </c>
      <c r="AY67" t="s">
        <v>125</v>
      </c>
      <c r="AZ67" t="s">
        <v>66</v>
      </c>
      <c r="BA67" t="s">
        <v>80</v>
      </c>
      <c r="BB67" t="s">
        <v>80</v>
      </c>
      <c r="BC67" t="s">
        <v>80</v>
      </c>
      <c r="BD67" t="s">
        <v>80</v>
      </c>
      <c r="BE67" t="s">
        <v>81</v>
      </c>
      <c r="BF67" t="s">
        <v>80</v>
      </c>
      <c r="BG67" t="s">
        <v>78</v>
      </c>
    </row>
    <row r="68" spans="1:59" x14ac:dyDescent="0.35">
      <c r="A68">
        <v>28</v>
      </c>
      <c r="B68" t="str" cm="1">
        <f t="array" ref="B68">_xlfn.IFS(A68&lt;=25,"18-25",A68&lt;=33,"26-33",A68&lt;=41,"34-41",A68&lt;=49,"42-49",A68&gt;49,"50 or above")</f>
        <v>26-33</v>
      </c>
      <c r="C68" t="s">
        <v>62</v>
      </c>
      <c r="D68" t="s">
        <v>63</v>
      </c>
      <c r="E68" t="s">
        <v>64</v>
      </c>
      <c r="F68" t="s">
        <v>90</v>
      </c>
      <c r="G68" t="s">
        <v>66</v>
      </c>
      <c r="H68" t="s">
        <v>88</v>
      </c>
      <c r="I68">
        <v>0</v>
      </c>
      <c r="AS68" t="s">
        <v>144</v>
      </c>
      <c r="AX68" t="s">
        <v>66</v>
      </c>
      <c r="AY68" t="s">
        <v>66</v>
      </c>
      <c r="AZ68" t="s">
        <v>66</v>
      </c>
      <c r="BA68" t="s">
        <v>81</v>
      </c>
      <c r="BB68" t="s">
        <v>81</v>
      </c>
      <c r="BC68" t="s">
        <v>81</v>
      </c>
      <c r="BD68" t="s">
        <v>81</v>
      </c>
      <c r="BE68" t="s">
        <v>78</v>
      </c>
      <c r="BF68" t="s">
        <v>81</v>
      </c>
      <c r="BG68" t="s">
        <v>81</v>
      </c>
    </row>
    <row r="69" spans="1:59" x14ac:dyDescent="0.35">
      <c r="A69">
        <v>71</v>
      </c>
      <c r="B69" t="str" cm="1">
        <f t="array" ref="B69">_xlfn.IFS(A69&lt;=25,"18-25",A69&lt;=33,"26-33",A69&lt;=41,"34-41",A69&lt;=49,"42-49",A69&gt;49,"50 or above")</f>
        <v>50 or above</v>
      </c>
      <c r="C69" t="s">
        <v>62</v>
      </c>
      <c r="D69" t="s">
        <v>63</v>
      </c>
      <c r="E69" t="s">
        <v>136</v>
      </c>
      <c r="F69" t="s">
        <v>102</v>
      </c>
      <c r="G69" t="s">
        <v>88</v>
      </c>
      <c r="H69" t="s">
        <v>88</v>
      </c>
      <c r="I69">
        <v>0</v>
      </c>
      <c r="AV69" t="s">
        <v>150</v>
      </c>
      <c r="AX69" t="s">
        <v>88</v>
      </c>
      <c r="AY69" t="s">
        <v>88</v>
      </c>
      <c r="BA69" t="s">
        <v>79</v>
      </c>
      <c r="BB69" t="s">
        <v>79</v>
      </c>
      <c r="BC69" t="s">
        <v>79</v>
      </c>
      <c r="BD69" t="s">
        <v>79</v>
      </c>
      <c r="BE69" t="s">
        <v>79</v>
      </c>
      <c r="BF69" t="s">
        <v>79</v>
      </c>
      <c r="BG69" t="s">
        <v>81</v>
      </c>
    </row>
    <row r="70" spans="1:59" x14ac:dyDescent="0.35">
      <c r="A70">
        <v>34</v>
      </c>
      <c r="B70" t="str" cm="1">
        <f t="array" ref="B70">_xlfn.IFS(A70&lt;=25,"18-25",A70&lt;=33,"26-33",A70&lt;=41,"34-41",A70&lt;=49,"42-49",A70&gt;49,"50 or above")</f>
        <v>34-41</v>
      </c>
      <c r="C70" t="s">
        <v>89</v>
      </c>
      <c r="D70" t="s">
        <v>63</v>
      </c>
      <c r="E70" t="s">
        <v>86</v>
      </c>
      <c r="F70" t="s">
        <v>102</v>
      </c>
      <c r="G70" t="s">
        <v>66</v>
      </c>
      <c r="H70" t="s">
        <v>88</v>
      </c>
      <c r="I70">
        <v>0</v>
      </c>
      <c r="AQ70" t="s">
        <v>118</v>
      </c>
      <c r="AX70" t="s">
        <v>66</v>
      </c>
      <c r="AY70" t="s">
        <v>66</v>
      </c>
      <c r="AZ70" t="s">
        <v>66</v>
      </c>
      <c r="BA70" t="s">
        <v>80</v>
      </c>
      <c r="BB70" t="s">
        <v>80</v>
      </c>
      <c r="BC70" t="s">
        <v>80</v>
      </c>
      <c r="BD70" t="s">
        <v>80</v>
      </c>
      <c r="BE70" t="s">
        <v>81</v>
      </c>
      <c r="BF70" t="s">
        <v>80</v>
      </c>
      <c r="BG70" t="s">
        <v>78</v>
      </c>
    </row>
    <row r="71" spans="1:59" x14ac:dyDescent="0.35">
      <c r="A71">
        <v>57</v>
      </c>
      <c r="B71" t="str" cm="1">
        <f t="array" ref="B71">_xlfn.IFS(A71&lt;=25,"18-25",A71&lt;=33,"26-33",A71&lt;=41,"34-41",A71&lt;=49,"42-49",A71&gt;49,"50 or above")</f>
        <v>50 or above</v>
      </c>
      <c r="C71" t="s">
        <v>89</v>
      </c>
      <c r="D71" t="s">
        <v>120</v>
      </c>
      <c r="E71" t="s">
        <v>121</v>
      </c>
      <c r="F71" t="s">
        <v>102</v>
      </c>
      <c r="G71" t="s">
        <v>88</v>
      </c>
      <c r="H71" t="s">
        <v>88</v>
      </c>
      <c r="I71">
        <v>0</v>
      </c>
      <c r="AV71" t="s">
        <v>150</v>
      </c>
      <c r="AX71" t="s">
        <v>125</v>
      </c>
      <c r="AY71" t="s">
        <v>125</v>
      </c>
      <c r="AZ71" t="s">
        <v>88</v>
      </c>
      <c r="BA71" t="s">
        <v>81</v>
      </c>
      <c r="BB71" t="s">
        <v>81</v>
      </c>
      <c r="BC71" t="s">
        <v>81</v>
      </c>
      <c r="BD71" t="s">
        <v>81</v>
      </c>
      <c r="BE71" t="s">
        <v>81</v>
      </c>
      <c r="BF71" t="s">
        <v>81</v>
      </c>
      <c r="BG71" t="s">
        <v>81</v>
      </c>
    </row>
    <row r="72" spans="1:59" x14ac:dyDescent="0.35">
      <c r="A72">
        <v>42</v>
      </c>
      <c r="B72" t="str" cm="1">
        <f t="array" ref="B72">_xlfn.IFS(A72&lt;=25,"18-25",A72&lt;=33,"26-33",A72&lt;=41,"34-41",A72&lt;=49,"42-49",A72&gt;49,"50 or above")</f>
        <v>42-49</v>
      </c>
      <c r="C72" t="s">
        <v>89</v>
      </c>
      <c r="D72" t="s">
        <v>63</v>
      </c>
      <c r="E72" t="s">
        <v>86</v>
      </c>
      <c r="F72" t="s">
        <v>87</v>
      </c>
      <c r="G72" t="s">
        <v>66</v>
      </c>
      <c r="H72" t="s">
        <v>88</v>
      </c>
      <c r="I72">
        <v>0</v>
      </c>
      <c r="AQ72" t="s">
        <v>118</v>
      </c>
      <c r="AT72" t="s">
        <v>138</v>
      </c>
      <c r="AX72" t="s">
        <v>66</v>
      </c>
      <c r="AY72" t="s">
        <v>66</v>
      </c>
      <c r="AZ72" t="s">
        <v>66</v>
      </c>
      <c r="BA72" t="s">
        <v>80</v>
      </c>
      <c r="BB72" t="s">
        <v>80</v>
      </c>
      <c r="BC72" t="s">
        <v>80</v>
      </c>
      <c r="BD72" t="s">
        <v>80</v>
      </c>
      <c r="BE72" t="s">
        <v>81</v>
      </c>
      <c r="BF72" t="s">
        <v>80</v>
      </c>
      <c r="BG72" t="s">
        <v>78</v>
      </c>
    </row>
    <row r="73" spans="1:59" x14ac:dyDescent="0.35">
      <c r="A73">
        <v>61</v>
      </c>
      <c r="B73" t="str" cm="1">
        <f t="array" ref="B73">_xlfn.IFS(A73&lt;=25,"18-25",A73&lt;=33,"26-33",A73&lt;=41,"34-41",A73&lt;=49,"42-49",A73&gt;49,"50 or above")</f>
        <v>50 or above</v>
      </c>
      <c r="C73" t="s">
        <v>89</v>
      </c>
      <c r="D73" t="s">
        <v>119</v>
      </c>
      <c r="E73" t="s">
        <v>121</v>
      </c>
      <c r="F73" t="s">
        <v>87</v>
      </c>
      <c r="G73" t="s">
        <v>88</v>
      </c>
      <c r="H73" t="s">
        <v>88</v>
      </c>
      <c r="I73">
        <v>0</v>
      </c>
      <c r="AS73" t="s">
        <v>144</v>
      </c>
      <c r="AX73" t="s">
        <v>88</v>
      </c>
      <c r="AY73" t="s">
        <v>88</v>
      </c>
      <c r="AZ73" t="s">
        <v>88</v>
      </c>
      <c r="BA73" t="s">
        <v>81</v>
      </c>
      <c r="BB73" t="s">
        <v>81</v>
      </c>
      <c r="BC73" t="s">
        <v>81</v>
      </c>
      <c r="BD73" t="s">
        <v>81</v>
      </c>
      <c r="BE73" t="s">
        <v>81</v>
      </c>
      <c r="BF73" t="s">
        <v>81</v>
      </c>
      <c r="BG73" t="s">
        <v>81</v>
      </c>
    </row>
    <row r="74" spans="1:59" x14ac:dyDescent="0.35">
      <c r="A74">
        <v>29</v>
      </c>
      <c r="B74" t="str" cm="1">
        <f t="array" ref="B74">_xlfn.IFS(A74&lt;=25,"18-25",A74&lt;=33,"26-33",A74&lt;=41,"34-41",A74&lt;=49,"42-49",A74&gt;49,"50 or above")</f>
        <v>26-33</v>
      </c>
      <c r="C74" t="s">
        <v>89</v>
      </c>
      <c r="D74" t="s">
        <v>63</v>
      </c>
      <c r="E74" t="s">
        <v>86</v>
      </c>
      <c r="F74" t="s">
        <v>90</v>
      </c>
      <c r="G74" t="s">
        <v>66</v>
      </c>
      <c r="H74" t="s">
        <v>88</v>
      </c>
      <c r="I74">
        <v>0</v>
      </c>
      <c r="AV74" t="s">
        <v>150</v>
      </c>
      <c r="AX74" t="s">
        <v>88</v>
      </c>
      <c r="AY74" t="s">
        <v>88</v>
      </c>
      <c r="AZ74" t="s">
        <v>66</v>
      </c>
      <c r="BA74" t="s">
        <v>79</v>
      </c>
      <c r="BB74" t="s">
        <v>79</v>
      </c>
      <c r="BC74" t="s">
        <v>79</v>
      </c>
      <c r="BD74" t="s">
        <v>79</v>
      </c>
      <c r="BE74" t="s">
        <v>81</v>
      </c>
      <c r="BF74" t="s">
        <v>79</v>
      </c>
      <c r="BG74" t="s">
        <v>80</v>
      </c>
    </row>
    <row r="75" spans="1:59" x14ac:dyDescent="0.35">
      <c r="A75">
        <v>48</v>
      </c>
      <c r="B75" t="str" cm="1">
        <f t="array" ref="B75">_xlfn.IFS(A75&lt;=25,"18-25",A75&lt;=33,"26-33",A75&lt;=41,"34-41",A75&lt;=49,"42-49",A75&gt;49,"50 or above")</f>
        <v>42-49</v>
      </c>
      <c r="C75" t="s">
        <v>89</v>
      </c>
      <c r="D75" t="s">
        <v>119</v>
      </c>
      <c r="E75" t="s">
        <v>121</v>
      </c>
      <c r="F75" t="s">
        <v>65</v>
      </c>
      <c r="G75" t="s">
        <v>66</v>
      </c>
      <c r="H75" t="s">
        <v>88</v>
      </c>
      <c r="I75">
        <v>0</v>
      </c>
      <c r="AV75" t="s">
        <v>150</v>
      </c>
      <c r="AX75" t="s">
        <v>66</v>
      </c>
      <c r="AY75" t="s">
        <v>66</v>
      </c>
      <c r="AZ75" t="s">
        <v>66</v>
      </c>
      <c r="BA75" t="s">
        <v>81</v>
      </c>
      <c r="BB75" t="s">
        <v>81</v>
      </c>
      <c r="BC75" t="s">
        <v>81</v>
      </c>
      <c r="BD75" t="s">
        <v>81</v>
      </c>
      <c r="BE75" t="s">
        <v>81</v>
      </c>
      <c r="BF75" t="s">
        <v>81</v>
      </c>
      <c r="BG75" t="s">
        <v>81</v>
      </c>
    </row>
    <row r="76" spans="1:59" x14ac:dyDescent="0.35">
      <c r="A76">
        <v>53</v>
      </c>
      <c r="B76" t="str" cm="1">
        <f t="array" ref="B76">_xlfn.IFS(A76&lt;=25,"18-25",A76&lt;=33,"26-33",A76&lt;=41,"34-41",A76&lt;=49,"42-49",A76&gt;49,"50 or above")</f>
        <v>50 or above</v>
      </c>
      <c r="C76" t="s">
        <v>89</v>
      </c>
      <c r="D76" t="s">
        <v>120</v>
      </c>
      <c r="E76" t="s">
        <v>121</v>
      </c>
      <c r="F76" t="s">
        <v>102</v>
      </c>
      <c r="G76" t="s">
        <v>66</v>
      </c>
      <c r="H76" t="s">
        <v>88</v>
      </c>
      <c r="I76">
        <v>0</v>
      </c>
      <c r="AX76" t="s">
        <v>66</v>
      </c>
      <c r="AY76" t="s">
        <v>88</v>
      </c>
      <c r="AZ76" t="s">
        <v>66</v>
      </c>
      <c r="BA76" t="s">
        <v>81</v>
      </c>
      <c r="BB76" t="s">
        <v>81</v>
      </c>
      <c r="BC76" t="s">
        <v>81</v>
      </c>
      <c r="BD76" t="s">
        <v>81</v>
      </c>
      <c r="BE76" t="s">
        <v>81</v>
      </c>
      <c r="BF76" t="s">
        <v>81</v>
      </c>
      <c r="BG76" t="s">
        <v>81</v>
      </c>
    </row>
    <row r="77" spans="1:59" x14ac:dyDescent="0.35">
      <c r="A77">
        <v>37</v>
      </c>
      <c r="B77" t="str" cm="1">
        <f t="array" ref="B77">_xlfn.IFS(A77&lt;=25,"18-25",A77&lt;=33,"26-33",A77&lt;=41,"34-41",A77&lt;=49,"42-49",A77&gt;49,"50 or above")</f>
        <v>34-41</v>
      </c>
      <c r="C77" t="s">
        <v>89</v>
      </c>
      <c r="D77" t="s">
        <v>63</v>
      </c>
      <c r="E77" t="s">
        <v>86</v>
      </c>
      <c r="F77" t="s">
        <v>87</v>
      </c>
      <c r="G77" t="s">
        <v>66</v>
      </c>
      <c r="H77" t="s">
        <v>88</v>
      </c>
      <c r="I77">
        <v>0</v>
      </c>
      <c r="AV77" t="s">
        <v>150</v>
      </c>
      <c r="AX77" t="s">
        <v>66</v>
      </c>
      <c r="AY77" t="s">
        <v>66</v>
      </c>
      <c r="AZ77" t="s">
        <v>66</v>
      </c>
      <c r="BA77" t="s">
        <v>81</v>
      </c>
      <c r="BB77" t="s">
        <v>81</v>
      </c>
      <c r="BC77" t="s">
        <v>81</v>
      </c>
      <c r="BD77" t="s">
        <v>81</v>
      </c>
      <c r="BE77" t="s">
        <v>78</v>
      </c>
      <c r="BF77" t="s">
        <v>81</v>
      </c>
      <c r="BG77" t="s">
        <v>81</v>
      </c>
    </row>
    <row r="78" spans="1:59" x14ac:dyDescent="0.35">
      <c r="A78">
        <v>65</v>
      </c>
      <c r="B78" t="str" cm="1">
        <f t="array" ref="B78">_xlfn.IFS(A78&lt;=25,"18-25",A78&lt;=33,"26-33",A78&lt;=41,"34-41",A78&lt;=49,"42-49",A78&gt;49,"50 or above")</f>
        <v>50 or above</v>
      </c>
      <c r="C78" t="s">
        <v>89</v>
      </c>
      <c r="D78" t="s">
        <v>119</v>
      </c>
      <c r="E78" t="s">
        <v>121</v>
      </c>
      <c r="F78" t="s">
        <v>65</v>
      </c>
      <c r="G78" t="s">
        <v>66</v>
      </c>
      <c r="H78" t="s">
        <v>88</v>
      </c>
      <c r="I78">
        <v>0</v>
      </c>
      <c r="AX78" t="s">
        <v>66</v>
      </c>
      <c r="AY78" t="s">
        <v>125</v>
      </c>
      <c r="AZ78" t="s">
        <v>66</v>
      </c>
      <c r="BA78" t="s">
        <v>81</v>
      </c>
      <c r="BB78" t="s">
        <v>81</v>
      </c>
      <c r="BC78" t="s">
        <v>81</v>
      </c>
      <c r="BD78" t="s">
        <v>81</v>
      </c>
      <c r="BE78" t="s">
        <v>81</v>
      </c>
      <c r="BF78" t="s">
        <v>81</v>
      </c>
      <c r="BG78" t="s">
        <v>81</v>
      </c>
    </row>
    <row r="79" spans="1:59" x14ac:dyDescent="0.35">
      <c r="A79">
        <v>44</v>
      </c>
      <c r="B79" t="str" cm="1">
        <f t="array" ref="B79">_xlfn.IFS(A79&lt;=25,"18-25",A79&lt;=33,"26-33",A79&lt;=41,"34-41",A79&lt;=49,"42-49",A79&gt;49,"50 or above")</f>
        <v>42-49</v>
      </c>
      <c r="C79" t="s">
        <v>89</v>
      </c>
      <c r="D79" t="s">
        <v>63</v>
      </c>
      <c r="E79" t="s">
        <v>86</v>
      </c>
      <c r="F79" t="s">
        <v>87</v>
      </c>
      <c r="G79" t="s">
        <v>66</v>
      </c>
      <c r="H79" t="s">
        <v>88</v>
      </c>
      <c r="I79">
        <v>0</v>
      </c>
      <c r="AQ79" t="s">
        <v>118</v>
      </c>
      <c r="AX79" t="s">
        <v>66</v>
      </c>
      <c r="AY79" t="s">
        <v>66</v>
      </c>
      <c r="AZ79" t="s">
        <v>66</v>
      </c>
      <c r="BA79" t="s">
        <v>80</v>
      </c>
      <c r="BB79" t="s">
        <v>80</v>
      </c>
      <c r="BC79" t="s">
        <v>80</v>
      </c>
      <c r="BD79" t="s">
        <v>80</v>
      </c>
      <c r="BE79" t="s">
        <v>78</v>
      </c>
      <c r="BF79" t="s">
        <v>80</v>
      </c>
      <c r="BG79" t="s">
        <v>78</v>
      </c>
    </row>
    <row r="80" spans="1:59" x14ac:dyDescent="0.35">
      <c r="A80">
        <v>44</v>
      </c>
      <c r="B80" t="str" cm="1">
        <f t="array" ref="B80">_xlfn.IFS(A80&lt;=25,"18-25",A80&lt;=33,"26-33",A80&lt;=41,"34-41",A80&lt;=49,"42-49",A80&gt;49,"50 or above")</f>
        <v>42-49</v>
      </c>
      <c r="C80" t="s">
        <v>89</v>
      </c>
      <c r="D80" t="s">
        <v>63</v>
      </c>
      <c r="E80" t="s">
        <v>109</v>
      </c>
      <c r="F80" t="s">
        <v>102</v>
      </c>
      <c r="G80" t="s">
        <v>66</v>
      </c>
      <c r="H80" t="s">
        <v>88</v>
      </c>
      <c r="I80">
        <v>0</v>
      </c>
      <c r="AT80" t="s">
        <v>145</v>
      </c>
      <c r="AX80" t="s">
        <v>66</v>
      </c>
      <c r="AY80" t="s">
        <v>66</v>
      </c>
      <c r="AZ80" t="s">
        <v>66</v>
      </c>
      <c r="BA80" t="s">
        <v>80</v>
      </c>
      <c r="BB80" t="s">
        <v>80</v>
      </c>
      <c r="BC80" t="s">
        <v>80</v>
      </c>
      <c r="BD80" t="s">
        <v>80</v>
      </c>
      <c r="BE80" t="s">
        <v>81</v>
      </c>
      <c r="BF80" t="s">
        <v>80</v>
      </c>
      <c r="BG80" t="s">
        <v>78</v>
      </c>
    </row>
    <row r="81" spans="1:59" x14ac:dyDescent="0.35">
      <c r="A81">
        <v>51</v>
      </c>
      <c r="B81" t="str" cm="1">
        <f t="array" ref="B81">_xlfn.IFS(A81&lt;=25,"18-25",A81&lt;=33,"26-33",A81&lt;=41,"34-41",A81&lt;=49,"42-49",A81&gt;49,"50 or above")</f>
        <v>50 or above</v>
      </c>
      <c r="C81" t="s">
        <v>89</v>
      </c>
      <c r="D81" t="s">
        <v>119</v>
      </c>
      <c r="E81" t="s">
        <v>121</v>
      </c>
      <c r="F81" t="s">
        <v>87</v>
      </c>
      <c r="G81" t="s">
        <v>66</v>
      </c>
      <c r="H81" t="s">
        <v>88</v>
      </c>
      <c r="I81">
        <v>0</v>
      </c>
      <c r="AV81" t="s">
        <v>151</v>
      </c>
      <c r="AX81" t="s">
        <v>125</v>
      </c>
      <c r="AY81" t="s">
        <v>88</v>
      </c>
      <c r="AZ81" t="s">
        <v>66</v>
      </c>
      <c r="BA81" t="s">
        <v>81</v>
      </c>
      <c r="BB81" t="s">
        <v>81</v>
      </c>
      <c r="BC81" t="s">
        <v>81</v>
      </c>
      <c r="BD81" t="s">
        <v>81</v>
      </c>
      <c r="BE81" t="s">
        <v>81</v>
      </c>
      <c r="BF81" t="s">
        <v>81</v>
      </c>
      <c r="BG81" t="s">
        <v>81</v>
      </c>
    </row>
    <row r="82" spans="1:59" x14ac:dyDescent="0.35">
      <c r="A82">
        <v>39</v>
      </c>
      <c r="B82" t="str" cm="1">
        <f t="array" ref="B82">_xlfn.IFS(A82&lt;=25,"18-25",A82&lt;=33,"26-33",A82&lt;=41,"34-41",A82&lt;=49,"42-49",A82&gt;49,"50 or above")</f>
        <v>34-41</v>
      </c>
      <c r="C82" t="s">
        <v>89</v>
      </c>
      <c r="D82" t="s">
        <v>63</v>
      </c>
      <c r="E82" t="s">
        <v>86</v>
      </c>
      <c r="F82" t="s">
        <v>87</v>
      </c>
      <c r="G82" t="s">
        <v>66</v>
      </c>
      <c r="H82" t="s">
        <v>88</v>
      </c>
      <c r="I82">
        <v>0</v>
      </c>
      <c r="AT82" t="s">
        <v>145</v>
      </c>
      <c r="AX82" t="s">
        <v>66</v>
      </c>
      <c r="AY82" t="s">
        <v>88</v>
      </c>
      <c r="AZ82" t="s">
        <v>66</v>
      </c>
      <c r="BA82" t="s">
        <v>81</v>
      </c>
      <c r="BB82" t="s">
        <v>81</v>
      </c>
      <c r="BC82" t="s">
        <v>81</v>
      </c>
      <c r="BD82" t="s">
        <v>81</v>
      </c>
      <c r="BE82" t="s">
        <v>81</v>
      </c>
      <c r="BF82" t="s">
        <v>81</v>
      </c>
      <c r="BG82" t="s">
        <v>81</v>
      </c>
    </row>
    <row r="83" spans="1:59" x14ac:dyDescent="0.35">
      <c r="A83">
        <v>58</v>
      </c>
      <c r="B83" t="str" cm="1">
        <f t="array" ref="B83">_xlfn.IFS(A83&lt;=25,"18-25",A83&lt;=33,"26-33",A83&lt;=41,"34-41",A83&lt;=49,"42-49",A83&gt;49,"50 or above")</f>
        <v>50 or above</v>
      </c>
      <c r="C83" t="s">
        <v>89</v>
      </c>
      <c r="D83" t="s">
        <v>120</v>
      </c>
      <c r="E83" t="s">
        <v>121</v>
      </c>
      <c r="F83" t="s">
        <v>102</v>
      </c>
      <c r="G83" t="s">
        <v>88</v>
      </c>
      <c r="H83" t="s">
        <v>88</v>
      </c>
      <c r="I83">
        <v>0</v>
      </c>
      <c r="AP83" t="s">
        <v>85</v>
      </c>
      <c r="AQ83" t="s">
        <v>118</v>
      </c>
      <c r="AX83" t="s">
        <v>88</v>
      </c>
      <c r="AY83" t="s">
        <v>88</v>
      </c>
      <c r="AZ83" t="s">
        <v>88</v>
      </c>
      <c r="BA83" t="s">
        <v>81</v>
      </c>
      <c r="BB83" t="s">
        <v>81</v>
      </c>
      <c r="BC83" t="s">
        <v>81</v>
      </c>
      <c r="BD83" t="s">
        <v>81</v>
      </c>
      <c r="BE83" t="s">
        <v>81</v>
      </c>
      <c r="BF83" t="s">
        <v>81</v>
      </c>
      <c r="BG83" t="s">
        <v>81</v>
      </c>
    </row>
    <row r="84" spans="1:59" x14ac:dyDescent="0.35">
      <c r="A84">
        <v>46</v>
      </c>
      <c r="B84" t="str" cm="1">
        <f t="array" ref="B84">_xlfn.IFS(A84&lt;=25,"18-25",A84&lt;=33,"26-33",A84&lt;=41,"34-41",A84&lt;=49,"42-49",A84&gt;49,"50 or above")</f>
        <v>42-49</v>
      </c>
      <c r="C84" t="s">
        <v>89</v>
      </c>
      <c r="D84" t="s">
        <v>63</v>
      </c>
      <c r="E84" t="s">
        <v>86</v>
      </c>
      <c r="F84" t="s">
        <v>87</v>
      </c>
      <c r="G84" t="s">
        <v>66</v>
      </c>
      <c r="H84" t="s">
        <v>88</v>
      </c>
      <c r="I84">
        <v>0</v>
      </c>
      <c r="AV84" t="s">
        <v>151</v>
      </c>
      <c r="AX84" t="s">
        <v>125</v>
      </c>
      <c r="AY84" t="s">
        <v>125</v>
      </c>
      <c r="AZ84" t="s">
        <v>66</v>
      </c>
      <c r="BA84" t="s">
        <v>80</v>
      </c>
      <c r="BB84" t="s">
        <v>80</v>
      </c>
      <c r="BC84" t="s">
        <v>80</v>
      </c>
      <c r="BD84" t="s">
        <v>80</v>
      </c>
      <c r="BE84" t="s">
        <v>81</v>
      </c>
      <c r="BF84" t="s">
        <v>80</v>
      </c>
      <c r="BG84" t="s">
        <v>78</v>
      </c>
    </row>
    <row r="85" spans="1:59" x14ac:dyDescent="0.35">
      <c r="A85">
        <v>31</v>
      </c>
      <c r="B85" t="str" cm="1">
        <f t="array" ref="B85">_xlfn.IFS(A85&lt;=25,"18-25",A85&lt;=33,"26-33",A85&lt;=41,"34-41",A85&lt;=49,"42-49",A85&gt;49,"50 or above")</f>
        <v>26-33</v>
      </c>
      <c r="C85" t="s">
        <v>89</v>
      </c>
      <c r="D85" t="s">
        <v>105</v>
      </c>
      <c r="E85" t="s">
        <v>86</v>
      </c>
      <c r="F85" t="s">
        <v>65</v>
      </c>
      <c r="G85" t="s">
        <v>66</v>
      </c>
      <c r="H85" t="s">
        <v>88</v>
      </c>
      <c r="I85">
        <v>0</v>
      </c>
      <c r="AT85" t="s">
        <v>145</v>
      </c>
      <c r="AX85" t="s">
        <v>66</v>
      </c>
      <c r="AY85" t="s">
        <v>66</v>
      </c>
      <c r="AZ85" t="s">
        <v>66</v>
      </c>
      <c r="BA85" t="s">
        <v>80</v>
      </c>
      <c r="BB85" t="s">
        <v>80</v>
      </c>
      <c r="BC85" t="s">
        <v>80</v>
      </c>
      <c r="BD85" t="s">
        <v>80</v>
      </c>
      <c r="BE85" t="s">
        <v>81</v>
      </c>
      <c r="BF85" t="s">
        <v>80</v>
      </c>
      <c r="BG85" t="s">
        <v>78</v>
      </c>
    </row>
    <row r="86" spans="1:59" x14ac:dyDescent="0.35">
      <c r="A86">
        <v>62</v>
      </c>
      <c r="B86" t="str" cm="1">
        <f t="array" ref="B86">_xlfn.IFS(A86&lt;=25,"18-25",A86&lt;=33,"26-33",A86&lt;=41,"34-41",A86&lt;=49,"42-49",A86&gt;49,"50 or above")</f>
        <v>50 or above</v>
      </c>
      <c r="C86" t="s">
        <v>89</v>
      </c>
      <c r="D86" t="s">
        <v>119</v>
      </c>
      <c r="E86" t="s">
        <v>121</v>
      </c>
      <c r="F86" t="s">
        <v>102</v>
      </c>
      <c r="G86" t="s">
        <v>88</v>
      </c>
      <c r="H86" t="s">
        <v>88</v>
      </c>
      <c r="I86">
        <v>0</v>
      </c>
      <c r="AQ86" t="s">
        <v>118</v>
      </c>
      <c r="AX86" t="s">
        <v>88</v>
      </c>
      <c r="AY86" t="s">
        <v>88</v>
      </c>
      <c r="AZ86" t="s">
        <v>88</v>
      </c>
      <c r="BA86" t="s">
        <v>81</v>
      </c>
      <c r="BB86" t="s">
        <v>81</v>
      </c>
      <c r="BC86" t="s">
        <v>81</v>
      </c>
      <c r="BD86" t="s">
        <v>81</v>
      </c>
      <c r="BE86" t="s">
        <v>81</v>
      </c>
      <c r="BF86" t="s">
        <v>81</v>
      </c>
      <c r="BG86" t="s">
        <v>81</v>
      </c>
    </row>
    <row r="87" spans="1:59" x14ac:dyDescent="0.35">
      <c r="A87">
        <v>55</v>
      </c>
      <c r="B87" t="str" cm="1">
        <f t="array" ref="B87">_xlfn.IFS(A87&lt;=25,"18-25",A87&lt;=33,"26-33",A87&lt;=41,"34-41",A87&lt;=49,"42-49",A87&gt;49,"50 or above")</f>
        <v>50 or above</v>
      </c>
      <c r="C87" t="s">
        <v>89</v>
      </c>
      <c r="D87" t="s">
        <v>63</v>
      </c>
      <c r="E87" t="s">
        <v>86</v>
      </c>
      <c r="F87" t="s">
        <v>87</v>
      </c>
      <c r="G87" t="s">
        <v>66</v>
      </c>
      <c r="H87" t="s">
        <v>88</v>
      </c>
      <c r="I87">
        <v>0</v>
      </c>
      <c r="AV87" t="s">
        <v>151</v>
      </c>
      <c r="AX87" t="s">
        <v>125</v>
      </c>
      <c r="AY87" t="s">
        <v>66</v>
      </c>
      <c r="AZ87" t="s">
        <v>66</v>
      </c>
      <c r="BA87" t="s">
        <v>80</v>
      </c>
      <c r="BB87" t="s">
        <v>80</v>
      </c>
      <c r="BC87" t="s">
        <v>80</v>
      </c>
      <c r="BD87" t="s">
        <v>80</v>
      </c>
      <c r="BE87" t="s">
        <v>81</v>
      </c>
      <c r="BF87" t="s">
        <v>78</v>
      </c>
      <c r="BG87" t="s">
        <v>78</v>
      </c>
    </row>
    <row r="88" spans="1:59" x14ac:dyDescent="0.35">
      <c r="A88">
        <v>41</v>
      </c>
      <c r="B88" t="str" cm="1">
        <f t="array" ref="B88">_xlfn.IFS(A88&lt;=25,"18-25",A88&lt;=33,"26-33",A88&lt;=41,"34-41",A88&lt;=49,"42-49",A88&gt;49,"50 or above")</f>
        <v>34-41</v>
      </c>
      <c r="C88" t="s">
        <v>89</v>
      </c>
      <c r="D88" t="s">
        <v>116</v>
      </c>
      <c r="E88" t="s">
        <v>86</v>
      </c>
      <c r="F88" t="s">
        <v>87</v>
      </c>
      <c r="G88" t="s">
        <v>66</v>
      </c>
      <c r="H88" t="s">
        <v>88</v>
      </c>
      <c r="I88">
        <v>0</v>
      </c>
      <c r="AT88" t="s">
        <v>145</v>
      </c>
      <c r="AX88" t="s">
        <v>66</v>
      </c>
      <c r="AY88" t="s">
        <v>66</v>
      </c>
      <c r="AZ88" t="s">
        <v>66</v>
      </c>
      <c r="BA88" t="s">
        <v>78</v>
      </c>
      <c r="BB88" t="s">
        <v>78</v>
      </c>
      <c r="BC88" t="s">
        <v>78</v>
      </c>
      <c r="BD88" t="s">
        <v>78</v>
      </c>
      <c r="BE88" t="s">
        <v>81</v>
      </c>
      <c r="BF88" t="s">
        <v>78</v>
      </c>
      <c r="BG88" t="s">
        <v>78</v>
      </c>
    </row>
    <row r="89" spans="1:59" x14ac:dyDescent="0.35">
      <c r="A89">
        <v>68</v>
      </c>
      <c r="B89" t="str" cm="1">
        <f t="array" ref="B89">_xlfn.IFS(A89&lt;=25,"18-25",A89&lt;=33,"26-33",A89&lt;=41,"34-41",A89&lt;=49,"42-49",A89&gt;49,"50 or above")</f>
        <v>50 or above</v>
      </c>
      <c r="C89" t="s">
        <v>89</v>
      </c>
      <c r="D89" t="s">
        <v>119</v>
      </c>
      <c r="E89" t="s">
        <v>121</v>
      </c>
      <c r="F89" t="s">
        <v>102</v>
      </c>
      <c r="G89" t="s">
        <v>88</v>
      </c>
      <c r="H89" t="s">
        <v>88</v>
      </c>
      <c r="I89">
        <v>0</v>
      </c>
      <c r="AX89" t="s">
        <v>88</v>
      </c>
      <c r="AY89" t="s">
        <v>88</v>
      </c>
      <c r="AZ89" t="s">
        <v>88</v>
      </c>
      <c r="BA89" t="s">
        <v>81</v>
      </c>
      <c r="BB89" t="s">
        <v>81</v>
      </c>
      <c r="BC89" t="s">
        <v>81</v>
      </c>
      <c r="BD89" t="s">
        <v>81</v>
      </c>
      <c r="BE89" t="s">
        <v>81</v>
      </c>
      <c r="BF89" t="s">
        <v>81</v>
      </c>
      <c r="BG89" t="s">
        <v>81</v>
      </c>
    </row>
    <row r="90" spans="1:59" x14ac:dyDescent="0.35">
      <c r="A90">
        <v>27</v>
      </c>
      <c r="B90" t="str" cm="1">
        <f t="array" ref="B90">_xlfn.IFS(A90&lt;=25,"18-25",A90&lt;=33,"26-33",A90&lt;=41,"34-41",A90&lt;=49,"42-49",A90&gt;49,"50 or above")</f>
        <v>26-33</v>
      </c>
      <c r="C90" t="s">
        <v>89</v>
      </c>
      <c r="D90" t="s">
        <v>63</v>
      </c>
      <c r="E90" t="s">
        <v>64</v>
      </c>
      <c r="F90" t="s">
        <v>87</v>
      </c>
      <c r="G90" t="s">
        <v>66</v>
      </c>
      <c r="H90" t="s">
        <v>88</v>
      </c>
      <c r="I90">
        <v>0</v>
      </c>
      <c r="AV90" t="s">
        <v>151</v>
      </c>
      <c r="AX90" t="s">
        <v>66</v>
      </c>
      <c r="AY90" t="s">
        <v>66</v>
      </c>
      <c r="AZ90" t="s">
        <v>66</v>
      </c>
      <c r="BA90" t="s">
        <v>81</v>
      </c>
      <c r="BB90" t="s">
        <v>81</v>
      </c>
      <c r="BC90" t="s">
        <v>81</v>
      </c>
      <c r="BD90" t="s">
        <v>81</v>
      </c>
      <c r="BE90" t="s">
        <v>78</v>
      </c>
      <c r="BF90" t="s">
        <v>81</v>
      </c>
      <c r="BG90" t="s">
        <v>81</v>
      </c>
    </row>
    <row r="91" spans="1:59" x14ac:dyDescent="0.35">
      <c r="A91">
        <v>49</v>
      </c>
      <c r="B91" t="str" cm="1">
        <f t="array" ref="B91">_xlfn.IFS(A91&lt;=25,"18-25",A91&lt;=33,"26-33",A91&lt;=41,"34-41",A91&lt;=49,"42-49",A91&gt;49,"50 or above")</f>
        <v>42-49</v>
      </c>
      <c r="C91" t="s">
        <v>89</v>
      </c>
      <c r="D91" t="s">
        <v>63</v>
      </c>
      <c r="E91" t="s">
        <v>86</v>
      </c>
      <c r="F91" t="s">
        <v>87</v>
      </c>
      <c r="G91" t="s">
        <v>66</v>
      </c>
      <c r="H91" t="s">
        <v>88</v>
      </c>
      <c r="I91">
        <v>0</v>
      </c>
      <c r="AV91" t="s">
        <v>151</v>
      </c>
      <c r="AX91" t="s">
        <v>66</v>
      </c>
      <c r="AY91" t="s">
        <v>125</v>
      </c>
      <c r="AZ91" t="s">
        <v>66</v>
      </c>
      <c r="BA91" t="s">
        <v>80</v>
      </c>
      <c r="BB91" t="s">
        <v>80</v>
      </c>
      <c r="BC91" t="s">
        <v>80</v>
      </c>
      <c r="BD91" t="s">
        <v>80</v>
      </c>
      <c r="BE91" t="s">
        <v>81</v>
      </c>
      <c r="BF91" t="s">
        <v>80</v>
      </c>
      <c r="BG91" t="s">
        <v>78</v>
      </c>
    </row>
    <row r="92" spans="1:59" x14ac:dyDescent="0.35">
      <c r="A92">
        <v>59</v>
      </c>
      <c r="B92" t="str" cm="1">
        <f t="array" ref="B92">_xlfn.IFS(A92&lt;=25,"18-25",A92&lt;=33,"26-33",A92&lt;=41,"34-41",A92&lt;=49,"42-49",A92&gt;49,"50 or above")</f>
        <v>50 or above</v>
      </c>
      <c r="C92" t="s">
        <v>89</v>
      </c>
      <c r="D92" t="s">
        <v>119</v>
      </c>
      <c r="E92" t="s">
        <v>121</v>
      </c>
      <c r="F92" t="s">
        <v>65</v>
      </c>
      <c r="G92" t="s">
        <v>66</v>
      </c>
      <c r="H92" t="s">
        <v>88</v>
      </c>
      <c r="I92">
        <v>0</v>
      </c>
      <c r="AN92" t="s">
        <v>141</v>
      </c>
      <c r="AQ92" t="s">
        <v>118</v>
      </c>
      <c r="AS92" t="s">
        <v>137</v>
      </c>
      <c r="AX92" t="s">
        <v>66</v>
      </c>
      <c r="AY92" t="s">
        <v>88</v>
      </c>
      <c r="AZ92" t="s">
        <v>66</v>
      </c>
      <c r="BA92" t="s">
        <v>81</v>
      </c>
      <c r="BB92" t="s">
        <v>81</v>
      </c>
      <c r="BC92" t="s">
        <v>81</v>
      </c>
      <c r="BD92" t="s">
        <v>81</v>
      </c>
      <c r="BE92" t="s">
        <v>81</v>
      </c>
      <c r="BF92" t="s">
        <v>81</v>
      </c>
      <c r="BG92" t="s">
        <v>81</v>
      </c>
    </row>
    <row r="93" spans="1:59" x14ac:dyDescent="0.35">
      <c r="A93">
        <v>36</v>
      </c>
      <c r="B93" t="str" cm="1">
        <f t="array" ref="B93">_xlfn.IFS(A93&lt;=25,"18-25",A93&lt;=33,"26-33",A93&lt;=41,"34-41",A93&lt;=49,"42-49",A93&gt;49,"50 or above")</f>
        <v>34-41</v>
      </c>
      <c r="C93" t="s">
        <v>89</v>
      </c>
      <c r="D93" t="s">
        <v>63</v>
      </c>
      <c r="E93" t="s">
        <v>86</v>
      </c>
      <c r="F93" t="s">
        <v>87</v>
      </c>
      <c r="G93" t="s">
        <v>66</v>
      </c>
      <c r="H93" t="s">
        <v>88</v>
      </c>
      <c r="I93">
        <v>0</v>
      </c>
      <c r="AV93" t="s">
        <v>151</v>
      </c>
      <c r="AX93" t="s">
        <v>88</v>
      </c>
      <c r="AY93" t="s">
        <v>88</v>
      </c>
      <c r="AZ93" t="s">
        <v>88</v>
      </c>
      <c r="BA93" t="s">
        <v>79</v>
      </c>
      <c r="BB93" t="s">
        <v>79</v>
      </c>
      <c r="BC93" t="s">
        <v>81</v>
      </c>
      <c r="BD93" t="s">
        <v>79</v>
      </c>
      <c r="BE93" t="s">
        <v>81</v>
      </c>
      <c r="BF93" t="s">
        <v>79</v>
      </c>
      <c r="BG93" t="s">
        <v>80</v>
      </c>
    </row>
    <row r="94" spans="1:59" x14ac:dyDescent="0.35">
      <c r="A94">
        <v>45</v>
      </c>
      <c r="B94" t="str" cm="1">
        <f t="array" ref="B94">_xlfn.IFS(A94&lt;=25,"18-25",A94&lt;=33,"26-33",A94&lt;=41,"34-41",A94&lt;=49,"42-49",A94&gt;49,"50 or above")</f>
        <v>42-49</v>
      </c>
      <c r="C94" t="s">
        <v>89</v>
      </c>
      <c r="D94" t="s">
        <v>119</v>
      </c>
      <c r="E94" t="s">
        <v>121</v>
      </c>
      <c r="F94" t="s">
        <v>87</v>
      </c>
      <c r="G94" t="s">
        <v>66</v>
      </c>
      <c r="H94" t="s">
        <v>88</v>
      </c>
      <c r="I94">
        <v>0</v>
      </c>
      <c r="AT94" t="s">
        <v>145</v>
      </c>
      <c r="AX94" t="s">
        <v>66</v>
      </c>
      <c r="AY94" t="s">
        <v>88</v>
      </c>
      <c r="AZ94" t="s">
        <v>66</v>
      </c>
      <c r="BA94" t="s">
        <v>81</v>
      </c>
      <c r="BB94" t="s">
        <v>81</v>
      </c>
      <c r="BC94" t="s">
        <v>81</v>
      </c>
      <c r="BD94" t="s">
        <v>81</v>
      </c>
      <c r="BE94" t="s">
        <v>81</v>
      </c>
      <c r="BF94" t="s">
        <v>81</v>
      </c>
      <c r="BG94" t="s">
        <v>81</v>
      </c>
    </row>
    <row r="95" spans="1:59" x14ac:dyDescent="0.35">
      <c r="A95">
        <v>52</v>
      </c>
      <c r="B95" t="str" cm="1">
        <f t="array" ref="B95">_xlfn.IFS(A95&lt;=25,"18-25",A95&lt;=33,"26-33",A95&lt;=41,"34-41",A95&lt;=49,"42-49",A95&gt;49,"50 or above")</f>
        <v>50 or above</v>
      </c>
      <c r="C95" t="s">
        <v>89</v>
      </c>
      <c r="D95" t="s">
        <v>63</v>
      </c>
      <c r="E95" t="s">
        <v>109</v>
      </c>
      <c r="F95" t="s">
        <v>65</v>
      </c>
      <c r="G95" t="s">
        <v>66</v>
      </c>
      <c r="H95" t="s">
        <v>88</v>
      </c>
      <c r="I95">
        <v>0</v>
      </c>
      <c r="AT95" t="s">
        <v>145</v>
      </c>
      <c r="AX95" t="s">
        <v>125</v>
      </c>
      <c r="AY95" t="s">
        <v>66</v>
      </c>
      <c r="AZ95" t="s">
        <v>66</v>
      </c>
      <c r="BA95" t="s">
        <v>80</v>
      </c>
      <c r="BB95" t="s">
        <v>80</v>
      </c>
      <c r="BC95" t="s">
        <v>80</v>
      </c>
      <c r="BD95" t="s">
        <v>80</v>
      </c>
      <c r="BE95" t="s">
        <v>81</v>
      </c>
      <c r="BF95" t="s">
        <v>80</v>
      </c>
      <c r="BG95" t="s">
        <v>78</v>
      </c>
    </row>
    <row r="96" spans="1:59" x14ac:dyDescent="0.35">
      <c r="A96">
        <v>63</v>
      </c>
      <c r="B96" t="str" cm="1">
        <f t="array" ref="B96">_xlfn.IFS(A96&lt;=25,"18-25",A96&lt;=33,"26-33",A96&lt;=41,"34-41",A96&lt;=49,"42-49",A96&gt;49,"50 or above")</f>
        <v>50 or above</v>
      </c>
      <c r="C96" t="s">
        <v>89</v>
      </c>
      <c r="D96" t="s">
        <v>119</v>
      </c>
      <c r="E96" t="s">
        <v>121</v>
      </c>
      <c r="F96" t="s">
        <v>87</v>
      </c>
      <c r="G96" t="s">
        <v>88</v>
      </c>
      <c r="H96" t="s">
        <v>88</v>
      </c>
      <c r="I96">
        <v>0</v>
      </c>
      <c r="AV96" t="s">
        <v>151</v>
      </c>
      <c r="AX96" t="s">
        <v>88</v>
      </c>
      <c r="AY96" t="s">
        <v>88</v>
      </c>
      <c r="AZ96" t="s">
        <v>88</v>
      </c>
      <c r="BA96" t="s">
        <v>81</v>
      </c>
      <c r="BB96" t="s">
        <v>81</v>
      </c>
      <c r="BC96" t="s">
        <v>81</v>
      </c>
      <c r="BD96" t="s">
        <v>81</v>
      </c>
      <c r="BE96" t="s">
        <v>81</v>
      </c>
      <c r="BF96" t="s">
        <v>81</v>
      </c>
      <c r="BG96" t="s">
        <v>81</v>
      </c>
    </row>
    <row r="97" spans="1:59" x14ac:dyDescent="0.35">
      <c r="A97">
        <v>33</v>
      </c>
      <c r="B97" t="str" cm="1">
        <f t="array" ref="B97">_xlfn.IFS(A97&lt;=25,"18-25",A97&lt;=33,"26-33",A97&lt;=41,"34-41",A97&lt;=49,"42-49",A97&gt;49,"50 or above")</f>
        <v>26-33</v>
      </c>
      <c r="C97" t="s">
        <v>89</v>
      </c>
      <c r="D97" t="s">
        <v>63</v>
      </c>
      <c r="E97" t="s">
        <v>86</v>
      </c>
      <c r="F97" t="s">
        <v>87</v>
      </c>
      <c r="G97" t="s">
        <v>66</v>
      </c>
      <c r="H97" t="s">
        <v>88</v>
      </c>
      <c r="I97">
        <v>0</v>
      </c>
      <c r="AX97" t="s">
        <v>66</v>
      </c>
      <c r="AY97" t="s">
        <v>88</v>
      </c>
      <c r="AZ97" t="s">
        <v>66</v>
      </c>
      <c r="BA97" t="s">
        <v>81</v>
      </c>
      <c r="BB97" t="s">
        <v>81</v>
      </c>
      <c r="BC97" t="s">
        <v>81</v>
      </c>
      <c r="BD97" t="s">
        <v>81</v>
      </c>
      <c r="BE97" t="s">
        <v>81</v>
      </c>
      <c r="BF97" t="s">
        <v>81</v>
      </c>
      <c r="BG97" t="s">
        <v>81</v>
      </c>
    </row>
    <row r="98" spans="1:59" x14ac:dyDescent="0.35">
      <c r="A98">
        <v>40</v>
      </c>
      <c r="B98" t="str" cm="1">
        <f t="array" ref="B98">_xlfn.IFS(A98&lt;=25,"18-25",A98&lt;=33,"26-33",A98&lt;=41,"34-41",A98&lt;=49,"42-49",A98&gt;49,"50 or above")</f>
        <v>34-41</v>
      </c>
      <c r="C98" t="s">
        <v>89</v>
      </c>
      <c r="D98" t="s">
        <v>63</v>
      </c>
      <c r="E98" t="s">
        <v>86</v>
      </c>
      <c r="F98" t="s">
        <v>87</v>
      </c>
      <c r="G98" t="s">
        <v>66</v>
      </c>
      <c r="H98" t="s">
        <v>88</v>
      </c>
      <c r="I98">
        <v>0</v>
      </c>
      <c r="AT98" t="s">
        <v>145</v>
      </c>
      <c r="AX98" t="s">
        <v>88</v>
      </c>
      <c r="AY98" t="s">
        <v>88</v>
      </c>
      <c r="AZ98" t="s">
        <v>66</v>
      </c>
      <c r="BA98" t="s">
        <v>81</v>
      </c>
      <c r="BB98" t="s">
        <v>81</v>
      </c>
      <c r="BC98" t="s">
        <v>81</v>
      </c>
      <c r="BD98" t="s">
        <v>81</v>
      </c>
      <c r="BE98" t="s">
        <v>81</v>
      </c>
      <c r="BF98" t="s">
        <v>81</v>
      </c>
      <c r="BG98" t="s">
        <v>81</v>
      </c>
    </row>
    <row r="99" spans="1:59" x14ac:dyDescent="0.35">
      <c r="A99">
        <v>60</v>
      </c>
      <c r="B99" t="str" cm="1">
        <f t="array" ref="B99">_xlfn.IFS(A99&lt;=25,"18-25",A99&lt;=33,"26-33",A99&lt;=41,"34-41",A99&lt;=49,"42-49",A99&gt;49,"50 or above")</f>
        <v>50 or above</v>
      </c>
      <c r="C99" t="s">
        <v>89</v>
      </c>
      <c r="D99" t="s">
        <v>120</v>
      </c>
      <c r="E99" t="s">
        <v>121</v>
      </c>
      <c r="F99" t="s">
        <v>102</v>
      </c>
      <c r="G99" t="s">
        <v>88</v>
      </c>
      <c r="H99" t="s">
        <v>88</v>
      </c>
      <c r="I99">
        <v>0</v>
      </c>
      <c r="AT99" t="s">
        <v>145</v>
      </c>
      <c r="AX99" t="s">
        <v>88</v>
      </c>
      <c r="AY99" t="s">
        <v>88</v>
      </c>
      <c r="AZ99" t="s">
        <v>88</v>
      </c>
      <c r="BA99" t="s">
        <v>81</v>
      </c>
      <c r="BB99" t="s">
        <v>81</v>
      </c>
      <c r="BC99" t="s">
        <v>81</v>
      </c>
      <c r="BD99" t="s">
        <v>81</v>
      </c>
      <c r="BE99" t="s">
        <v>81</v>
      </c>
      <c r="BF99" t="s">
        <v>81</v>
      </c>
      <c r="BG99" t="s">
        <v>81</v>
      </c>
    </row>
    <row r="100" spans="1:59" x14ac:dyDescent="0.35">
      <c r="A100">
        <v>28</v>
      </c>
      <c r="B100" t="str" cm="1">
        <f t="array" ref="B100">_xlfn.IFS(A100&lt;=25,"18-25",A100&lt;=33,"26-33",A100&lt;=41,"34-41",A100&lt;=49,"42-49",A100&gt;49,"50 or above")</f>
        <v>26-33</v>
      </c>
      <c r="C100" t="s">
        <v>89</v>
      </c>
      <c r="D100" t="s">
        <v>63</v>
      </c>
      <c r="E100" t="s">
        <v>64</v>
      </c>
      <c r="F100" t="s">
        <v>87</v>
      </c>
      <c r="G100" t="s">
        <v>66</v>
      </c>
      <c r="H100" t="s">
        <v>88</v>
      </c>
      <c r="I100">
        <v>0</v>
      </c>
      <c r="AW100" t="s">
        <v>149</v>
      </c>
      <c r="AX100" t="s">
        <v>66</v>
      </c>
      <c r="AY100" t="s">
        <v>66</v>
      </c>
      <c r="AZ100" t="s">
        <v>66</v>
      </c>
      <c r="BA100" t="s">
        <v>81</v>
      </c>
      <c r="BB100" t="s">
        <v>81</v>
      </c>
      <c r="BC100" t="s">
        <v>81</v>
      </c>
      <c r="BD100" t="s">
        <v>81</v>
      </c>
      <c r="BE100" t="s">
        <v>78</v>
      </c>
      <c r="BF100" t="s">
        <v>81</v>
      </c>
      <c r="BG100" t="s">
        <v>81</v>
      </c>
    </row>
    <row r="101" spans="1:59" x14ac:dyDescent="0.35">
      <c r="A101">
        <v>54</v>
      </c>
      <c r="B101" t="str" cm="1">
        <f t="array" ref="B101">_xlfn.IFS(A101&lt;=25,"18-25",A101&lt;=33,"26-33",A101&lt;=41,"34-41",A101&lt;=49,"42-49",A101&gt;49,"50 or above")</f>
        <v>50 or above</v>
      </c>
      <c r="C101" t="s">
        <v>89</v>
      </c>
      <c r="D101" t="s">
        <v>63</v>
      </c>
      <c r="E101" t="s">
        <v>121</v>
      </c>
      <c r="F101" t="s">
        <v>87</v>
      </c>
      <c r="G101" t="s">
        <v>66</v>
      </c>
      <c r="H101" t="s">
        <v>88</v>
      </c>
      <c r="I101">
        <v>0</v>
      </c>
      <c r="AQ101" t="s">
        <v>118</v>
      </c>
      <c r="AX101" t="s">
        <v>125</v>
      </c>
      <c r="AY101" t="s">
        <v>125</v>
      </c>
      <c r="AZ101" t="s">
        <v>66</v>
      </c>
      <c r="BA101" t="s">
        <v>80</v>
      </c>
      <c r="BB101" t="s">
        <v>80</v>
      </c>
      <c r="BC101" t="s">
        <v>80</v>
      </c>
      <c r="BD101" t="s">
        <v>80</v>
      </c>
      <c r="BE101" t="s">
        <v>81</v>
      </c>
      <c r="BF101" t="s">
        <v>80</v>
      </c>
      <c r="BG101" t="s">
        <v>78</v>
      </c>
    </row>
    <row r="102" spans="1:59" x14ac:dyDescent="0.35">
      <c r="A102">
        <v>43</v>
      </c>
      <c r="B102" t="str" cm="1">
        <f t="array" ref="B102">_xlfn.IFS(A102&lt;=25,"18-25",A102&lt;=33,"26-33",A102&lt;=41,"34-41",A102&lt;=49,"42-49",A102&gt;49,"50 or above")</f>
        <v>42-49</v>
      </c>
      <c r="C102" t="s">
        <v>89</v>
      </c>
      <c r="D102" t="s">
        <v>105</v>
      </c>
      <c r="E102" t="s">
        <v>86</v>
      </c>
      <c r="F102" t="s">
        <v>102</v>
      </c>
      <c r="G102" t="s">
        <v>66</v>
      </c>
      <c r="H102" t="s">
        <v>88</v>
      </c>
      <c r="I102">
        <v>0</v>
      </c>
      <c r="AV102" t="s">
        <v>152</v>
      </c>
      <c r="AX102" t="s">
        <v>66</v>
      </c>
      <c r="AY102" t="s">
        <v>66</v>
      </c>
      <c r="AZ102" t="s">
        <v>66</v>
      </c>
      <c r="BA102" t="s">
        <v>78</v>
      </c>
      <c r="BB102" t="s">
        <v>78</v>
      </c>
      <c r="BC102" t="s">
        <v>78</v>
      </c>
      <c r="BD102" t="s">
        <v>78</v>
      </c>
      <c r="BE102" t="s">
        <v>81</v>
      </c>
      <c r="BF102" t="s">
        <v>78</v>
      </c>
      <c r="BG102" t="s">
        <v>78</v>
      </c>
    </row>
    <row r="103" spans="1:59" x14ac:dyDescent="0.35">
      <c r="A103">
        <v>66</v>
      </c>
      <c r="B103" t="str" cm="1">
        <f t="array" ref="B103">_xlfn.IFS(A103&lt;=25,"18-25",A103&lt;=33,"26-33",A103&lt;=41,"34-41",A103&lt;=49,"42-49",A103&gt;49,"50 or above")</f>
        <v>50 or above</v>
      </c>
      <c r="C103" t="s">
        <v>89</v>
      </c>
      <c r="D103" t="s">
        <v>120</v>
      </c>
      <c r="E103" t="s">
        <v>121</v>
      </c>
      <c r="F103" t="s">
        <v>65</v>
      </c>
      <c r="G103" t="s">
        <v>88</v>
      </c>
      <c r="H103" t="s">
        <v>88</v>
      </c>
      <c r="I103">
        <v>0</v>
      </c>
      <c r="AT103" t="s">
        <v>145</v>
      </c>
      <c r="AX103" t="s">
        <v>88</v>
      </c>
      <c r="AY103" t="s">
        <v>88</v>
      </c>
      <c r="AZ103" t="s">
        <v>88</v>
      </c>
      <c r="BA103" t="s">
        <v>81</v>
      </c>
      <c r="BB103" t="s">
        <v>81</v>
      </c>
      <c r="BC103" t="s">
        <v>81</v>
      </c>
      <c r="BD103" t="s">
        <v>81</v>
      </c>
      <c r="BE103" t="s">
        <v>81</v>
      </c>
      <c r="BF103" t="s">
        <v>81</v>
      </c>
      <c r="BG103" t="s">
        <v>81</v>
      </c>
    </row>
    <row r="104" spans="1:59" x14ac:dyDescent="0.35">
      <c r="A104">
        <v>38</v>
      </c>
      <c r="B104" t="str" cm="1">
        <f t="array" ref="B104">_xlfn.IFS(A104&lt;=25,"18-25",A104&lt;=33,"26-33",A104&lt;=41,"34-41",A104&lt;=49,"42-49",A104&gt;49,"50 or above")</f>
        <v>34-41</v>
      </c>
      <c r="C104" t="s">
        <v>89</v>
      </c>
      <c r="D104" t="s">
        <v>63</v>
      </c>
      <c r="E104" t="s">
        <v>86</v>
      </c>
      <c r="F104" t="s">
        <v>102</v>
      </c>
      <c r="G104" t="s">
        <v>66</v>
      </c>
      <c r="H104" t="s">
        <v>88</v>
      </c>
      <c r="I104">
        <v>0</v>
      </c>
      <c r="AV104" t="s">
        <v>152</v>
      </c>
      <c r="AX104" t="s">
        <v>66</v>
      </c>
      <c r="AY104" t="s">
        <v>66</v>
      </c>
      <c r="AZ104" t="s">
        <v>66</v>
      </c>
      <c r="BA104" t="s">
        <v>80</v>
      </c>
      <c r="BB104" t="s">
        <v>80</v>
      </c>
      <c r="BC104" t="s">
        <v>80</v>
      </c>
      <c r="BD104" t="s">
        <v>80</v>
      </c>
      <c r="BE104" t="s">
        <v>81</v>
      </c>
      <c r="BF104" t="s">
        <v>80</v>
      </c>
      <c r="BG104" t="s">
        <v>78</v>
      </c>
    </row>
    <row r="105" spans="1:59" x14ac:dyDescent="0.35">
      <c r="A105">
        <v>50</v>
      </c>
      <c r="B105" t="str" cm="1">
        <f t="array" ref="B105">_xlfn.IFS(A105&lt;=25,"18-25",A105&lt;=33,"26-33",A105&lt;=41,"34-41",A105&lt;=49,"42-49",A105&gt;49,"50 or above")</f>
        <v>50 or above</v>
      </c>
      <c r="C105" t="s">
        <v>89</v>
      </c>
      <c r="D105" t="s">
        <v>63</v>
      </c>
      <c r="E105" t="s">
        <v>109</v>
      </c>
      <c r="F105" t="s">
        <v>87</v>
      </c>
      <c r="G105" t="s">
        <v>66</v>
      </c>
      <c r="H105" t="s">
        <v>88</v>
      </c>
      <c r="I105">
        <v>0</v>
      </c>
      <c r="AT105" t="s">
        <v>145</v>
      </c>
      <c r="AX105" t="s">
        <v>125</v>
      </c>
      <c r="AY105" t="s">
        <v>88</v>
      </c>
      <c r="AZ105" t="s">
        <v>66</v>
      </c>
      <c r="BA105" t="s">
        <v>79</v>
      </c>
      <c r="BB105" t="s">
        <v>79</v>
      </c>
      <c r="BC105" t="s">
        <v>79</v>
      </c>
      <c r="BD105" t="s">
        <v>79</v>
      </c>
      <c r="BE105" t="s">
        <v>81</v>
      </c>
      <c r="BF105" t="s">
        <v>79</v>
      </c>
      <c r="BG105" t="s">
        <v>80</v>
      </c>
    </row>
    <row r="106" spans="1:59" x14ac:dyDescent="0.35">
      <c r="A106">
        <v>35</v>
      </c>
      <c r="B106" t="str" cm="1">
        <f t="array" ref="B106">_xlfn.IFS(A106&lt;=25,"18-25",A106&lt;=33,"26-33",A106&lt;=41,"34-41",A106&lt;=49,"42-49",A106&gt;49,"50 or above")</f>
        <v>34-41</v>
      </c>
      <c r="C106" t="s">
        <v>89</v>
      </c>
      <c r="D106" t="s">
        <v>63</v>
      </c>
      <c r="E106" t="s">
        <v>86</v>
      </c>
      <c r="F106" t="s">
        <v>87</v>
      </c>
      <c r="G106" t="s">
        <v>66</v>
      </c>
      <c r="H106" t="s">
        <v>88</v>
      </c>
      <c r="I106">
        <v>0</v>
      </c>
      <c r="AT106" t="s">
        <v>145</v>
      </c>
      <c r="AX106" t="s">
        <v>66</v>
      </c>
      <c r="AY106" t="s">
        <v>88</v>
      </c>
      <c r="AZ106" t="s">
        <v>66</v>
      </c>
      <c r="BA106" t="s">
        <v>81</v>
      </c>
      <c r="BB106" t="s">
        <v>81</v>
      </c>
      <c r="BC106" t="s">
        <v>81</v>
      </c>
      <c r="BD106" t="s">
        <v>81</v>
      </c>
      <c r="BE106" t="s">
        <v>81</v>
      </c>
      <c r="BF106" t="s">
        <v>81</v>
      </c>
      <c r="BG106" t="s">
        <v>81</v>
      </c>
    </row>
    <row r="107" spans="1:59" x14ac:dyDescent="0.35">
      <c r="A107">
        <v>64</v>
      </c>
      <c r="B107" t="str" cm="1">
        <f t="array" ref="B107">_xlfn.IFS(A107&lt;=25,"18-25",A107&lt;=33,"26-33",A107&lt;=41,"34-41",A107&lt;=49,"42-49",A107&gt;49,"50 or above")</f>
        <v>50 or above</v>
      </c>
      <c r="C107" t="s">
        <v>89</v>
      </c>
      <c r="D107" t="s">
        <v>120</v>
      </c>
      <c r="E107" t="s">
        <v>121</v>
      </c>
      <c r="F107" t="s">
        <v>87</v>
      </c>
      <c r="G107" t="s">
        <v>88</v>
      </c>
      <c r="H107" t="s">
        <v>88</v>
      </c>
      <c r="I107">
        <v>0</v>
      </c>
      <c r="AT107" t="s">
        <v>145</v>
      </c>
      <c r="AX107" t="s">
        <v>88</v>
      </c>
      <c r="AY107" t="s">
        <v>88</v>
      </c>
      <c r="AZ107" t="s">
        <v>88</v>
      </c>
      <c r="BA107" t="s">
        <v>79</v>
      </c>
      <c r="BB107" t="s">
        <v>79</v>
      </c>
      <c r="BC107" t="s">
        <v>79</v>
      </c>
      <c r="BD107" t="s">
        <v>79</v>
      </c>
      <c r="BE107" t="s">
        <v>81</v>
      </c>
      <c r="BF107" t="s">
        <v>79</v>
      </c>
      <c r="BG107" t="s">
        <v>81</v>
      </c>
    </row>
    <row r="108" spans="1:59" x14ac:dyDescent="0.35">
      <c r="A108">
        <v>32</v>
      </c>
      <c r="B108" t="str" cm="1">
        <f t="array" ref="B108">_xlfn.IFS(A108&lt;=25,"18-25",A108&lt;=33,"26-33",A108&lt;=41,"34-41",A108&lt;=49,"42-49",A108&gt;49,"50 or above")</f>
        <v>26-33</v>
      </c>
      <c r="C108" t="s">
        <v>89</v>
      </c>
      <c r="D108" t="s">
        <v>63</v>
      </c>
      <c r="E108" t="s">
        <v>86</v>
      </c>
      <c r="F108" t="s">
        <v>90</v>
      </c>
      <c r="G108" t="s">
        <v>66</v>
      </c>
      <c r="H108" t="s">
        <v>88</v>
      </c>
      <c r="I108">
        <v>0</v>
      </c>
      <c r="AN108" t="s">
        <v>83</v>
      </c>
      <c r="AX108" t="s">
        <v>125</v>
      </c>
      <c r="AY108" t="s">
        <v>125</v>
      </c>
      <c r="AZ108" t="s">
        <v>88</v>
      </c>
      <c r="BA108" t="s">
        <v>80</v>
      </c>
      <c r="BB108" t="s">
        <v>80</v>
      </c>
      <c r="BC108" t="s">
        <v>80</v>
      </c>
      <c r="BD108" t="s">
        <v>80</v>
      </c>
      <c r="BE108" t="s">
        <v>81</v>
      </c>
      <c r="BF108" t="s">
        <v>78</v>
      </c>
      <c r="BG108" t="s">
        <v>78</v>
      </c>
    </row>
    <row r="109" spans="1:59" x14ac:dyDescent="0.35">
      <c r="A109">
        <v>57</v>
      </c>
      <c r="B109" t="str" cm="1">
        <f t="array" ref="B109">_xlfn.IFS(A109&lt;=25,"18-25",A109&lt;=33,"26-33",A109&lt;=41,"34-41",A109&lt;=49,"42-49",A109&gt;49,"50 or above")</f>
        <v>50 or above</v>
      </c>
      <c r="C109" t="s">
        <v>89</v>
      </c>
      <c r="D109" t="s">
        <v>63</v>
      </c>
      <c r="E109" t="s">
        <v>109</v>
      </c>
      <c r="F109" t="s">
        <v>87</v>
      </c>
      <c r="G109" t="s">
        <v>66</v>
      </c>
      <c r="H109" t="s">
        <v>88</v>
      </c>
      <c r="I109">
        <v>0</v>
      </c>
      <c r="AT109" t="s">
        <v>145</v>
      </c>
      <c r="AX109" t="s">
        <v>88</v>
      </c>
      <c r="AY109" t="s">
        <v>125</v>
      </c>
      <c r="AZ109" t="s">
        <v>66</v>
      </c>
      <c r="BA109" t="s">
        <v>81</v>
      </c>
      <c r="BB109" t="s">
        <v>81</v>
      </c>
      <c r="BC109" t="s">
        <v>81</v>
      </c>
      <c r="BD109" t="s">
        <v>81</v>
      </c>
      <c r="BE109" t="s">
        <v>81</v>
      </c>
      <c r="BF109" t="s">
        <v>81</v>
      </c>
      <c r="BG109" t="s">
        <v>81</v>
      </c>
    </row>
    <row r="110" spans="1:59" x14ac:dyDescent="0.35">
      <c r="A110">
        <v>41</v>
      </c>
      <c r="B110" t="str" cm="1">
        <f t="array" ref="B110">_xlfn.IFS(A110&lt;=25,"18-25",A110&lt;=33,"26-33",A110&lt;=41,"34-41",A110&lt;=49,"42-49",A110&gt;49,"50 or above")</f>
        <v>34-41</v>
      </c>
      <c r="C110" t="s">
        <v>89</v>
      </c>
      <c r="D110" t="s">
        <v>63</v>
      </c>
      <c r="E110" t="s">
        <v>86</v>
      </c>
      <c r="F110" t="s">
        <v>87</v>
      </c>
      <c r="G110" t="s">
        <v>66</v>
      </c>
      <c r="H110" t="s">
        <v>88</v>
      </c>
      <c r="I110">
        <v>0</v>
      </c>
      <c r="AW110" t="s">
        <v>149</v>
      </c>
      <c r="AX110" t="s">
        <v>125</v>
      </c>
      <c r="AY110" t="s">
        <v>125</v>
      </c>
      <c r="AZ110" t="s">
        <v>88</v>
      </c>
      <c r="BA110" t="s">
        <v>81</v>
      </c>
      <c r="BB110" t="s">
        <v>81</v>
      </c>
      <c r="BC110" t="s">
        <v>81</v>
      </c>
      <c r="BD110" t="s">
        <v>81</v>
      </c>
      <c r="BE110" t="s">
        <v>78</v>
      </c>
      <c r="BF110" t="s">
        <v>81</v>
      </c>
      <c r="BG110" t="s">
        <v>81</v>
      </c>
    </row>
    <row r="111" spans="1:59" x14ac:dyDescent="0.35">
      <c r="A111">
        <v>26</v>
      </c>
      <c r="B111" t="str" cm="1">
        <f t="array" ref="B111">_xlfn.IFS(A111&lt;=25,"18-25",A111&lt;=33,"26-33",A111&lt;=41,"34-41",A111&lt;=49,"42-49",A111&gt;49,"50 or above")</f>
        <v>26-33</v>
      </c>
      <c r="C111" t="s">
        <v>89</v>
      </c>
      <c r="D111" t="s">
        <v>63</v>
      </c>
      <c r="E111" t="s">
        <v>64</v>
      </c>
      <c r="F111" t="s">
        <v>87</v>
      </c>
      <c r="G111" t="s">
        <v>66</v>
      </c>
      <c r="H111" t="s">
        <v>88</v>
      </c>
      <c r="I111">
        <v>0</v>
      </c>
      <c r="AW111" t="s">
        <v>149</v>
      </c>
      <c r="AX111" t="s">
        <v>66</v>
      </c>
      <c r="AY111" t="s">
        <v>66</v>
      </c>
      <c r="AZ111" t="s">
        <v>66</v>
      </c>
      <c r="BA111" t="s">
        <v>81</v>
      </c>
      <c r="BB111" t="s">
        <v>81</v>
      </c>
      <c r="BC111" t="s">
        <v>81</v>
      </c>
      <c r="BD111" t="s">
        <v>81</v>
      </c>
      <c r="BE111" t="s">
        <v>78</v>
      </c>
      <c r="BF111" t="s">
        <v>81</v>
      </c>
      <c r="BG111" t="s">
        <v>81</v>
      </c>
    </row>
    <row r="112" spans="1:59" x14ac:dyDescent="0.35">
      <c r="A112">
        <v>49</v>
      </c>
      <c r="B112" t="str" cm="1">
        <f t="array" ref="B112">_xlfn.IFS(A112&lt;=25,"18-25",A112&lt;=33,"26-33",A112&lt;=41,"34-41",A112&lt;=49,"42-49",A112&gt;49,"50 or above")</f>
        <v>42-49</v>
      </c>
      <c r="C112" t="s">
        <v>89</v>
      </c>
      <c r="D112" t="s">
        <v>63</v>
      </c>
      <c r="E112" t="s">
        <v>86</v>
      </c>
      <c r="F112" t="s">
        <v>102</v>
      </c>
      <c r="G112" t="s">
        <v>66</v>
      </c>
      <c r="H112" t="s">
        <v>88</v>
      </c>
      <c r="I112">
        <v>0</v>
      </c>
      <c r="AV112" t="s">
        <v>152</v>
      </c>
      <c r="AX112" t="s">
        <v>125</v>
      </c>
      <c r="AY112" t="s">
        <v>125</v>
      </c>
      <c r="AZ112" t="s">
        <v>66</v>
      </c>
      <c r="BA112" t="s">
        <v>80</v>
      </c>
      <c r="BB112" t="s">
        <v>80</v>
      </c>
      <c r="BC112" t="s">
        <v>80</v>
      </c>
      <c r="BD112" t="s">
        <v>80</v>
      </c>
      <c r="BE112" t="s">
        <v>81</v>
      </c>
      <c r="BF112" t="s">
        <v>80</v>
      </c>
      <c r="BG112" t="s">
        <v>78</v>
      </c>
    </row>
    <row r="113" spans="1:59" x14ac:dyDescent="0.35">
      <c r="A113">
        <v>58</v>
      </c>
      <c r="B113" t="str" cm="1">
        <f t="array" ref="B113">_xlfn.IFS(A113&lt;=25,"18-25",A113&lt;=33,"26-33",A113&lt;=41,"34-41",A113&lt;=49,"42-49",A113&gt;49,"50 or above")</f>
        <v>50 or above</v>
      </c>
      <c r="C113" t="s">
        <v>89</v>
      </c>
      <c r="D113" t="s">
        <v>63</v>
      </c>
      <c r="E113" t="s">
        <v>121</v>
      </c>
      <c r="F113" t="s">
        <v>102</v>
      </c>
      <c r="G113" t="s">
        <v>88</v>
      </c>
      <c r="H113" t="s">
        <v>88</v>
      </c>
      <c r="I113">
        <v>0</v>
      </c>
      <c r="AT113" t="s">
        <v>145</v>
      </c>
      <c r="AX113" t="s">
        <v>88</v>
      </c>
      <c r="AY113" t="s">
        <v>88</v>
      </c>
      <c r="AZ113" t="s">
        <v>66</v>
      </c>
      <c r="BA113" t="s">
        <v>81</v>
      </c>
      <c r="BB113" t="s">
        <v>81</v>
      </c>
      <c r="BC113" t="s">
        <v>81</v>
      </c>
      <c r="BD113" t="s">
        <v>81</v>
      </c>
      <c r="BE113" t="s">
        <v>81</v>
      </c>
      <c r="BF113" t="s">
        <v>81</v>
      </c>
      <c r="BG113" t="s">
        <v>81</v>
      </c>
    </row>
    <row r="114" spans="1:59" x14ac:dyDescent="0.35">
      <c r="A114">
        <v>37</v>
      </c>
      <c r="B114" t="str" cm="1">
        <f t="array" ref="B114">_xlfn.IFS(A114&lt;=25,"18-25",A114&lt;=33,"26-33",A114&lt;=41,"34-41",A114&lt;=49,"42-49",A114&gt;49,"50 or above")</f>
        <v>34-41</v>
      </c>
      <c r="C114" t="s">
        <v>89</v>
      </c>
      <c r="D114" t="s">
        <v>63</v>
      </c>
      <c r="E114" t="s">
        <v>86</v>
      </c>
      <c r="F114" t="s">
        <v>87</v>
      </c>
      <c r="G114" t="s">
        <v>66</v>
      </c>
      <c r="H114" t="s">
        <v>88</v>
      </c>
      <c r="I114">
        <v>0</v>
      </c>
      <c r="AN114" t="s">
        <v>83</v>
      </c>
      <c r="AX114" t="s">
        <v>125</v>
      </c>
      <c r="AY114" t="s">
        <v>125</v>
      </c>
      <c r="AZ114" t="s">
        <v>88</v>
      </c>
      <c r="BA114" t="s">
        <v>80</v>
      </c>
      <c r="BB114" t="s">
        <v>80</v>
      </c>
      <c r="BC114" t="s">
        <v>80</v>
      </c>
      <c r="BD114" t="s">
        <v>78</v>
      </c>
      <c r="BE114" t="s">
        <v>81</v>
      </c>
      <c r="BF114" t="s">
        <v>78</v>
      </c>
      <c r="BG114" t="s">
        <v>78</v>
      </c>
    </row>
    <row r="115" spans="1:59" x14ac:dyDescent="0.35">
      <c r="A115">
        <v>52</v>
      </c>
      <c r="B115" t="str" cm="1">
        <f t="array" ref="B115">_xlfn.IFS(A115&lt;=25,"18-25",A115&lt;=33,"26-33",A115&lt;=41,"34-41",A115&lt;=49,"42-49",A115&gt;49,"50 or above")</f>
        <v>50 or above</v>
      </c>
      <c r="C115" t="s">
        <v>89</v>
      </c>
      <c r="D115" t="s">
        <v>119</v>
      </c>
      <c r="E115" t="s">
        <v>121</v>
      </c>
      <c r="F115" t="s">
        <v>87</v>
      </c>
      <c r="G115" t="s">
        <v>66</v>
      </c>
      <c r="H115" t="s">
        <v>88</v>
      </c>
      <c r="I115">
        <v>0</v>
      </c>
      <c r="AQ115" t="s">
        <v>118</v>
      </c>
      <c r="AX115" t="s">
        <v>125</v>
      </c>
      <c r="AY115" t="s">
        <v>125</v>
      </c>
      <c r="AZ115" t="s">
        <v>66</v>
      </c>
      <c r="BA115" t="s">
        <v>81</v>
      </c>
      <c r="BB115" t="s">
        <v>81</v>
      </c>
      <c r="BC115" t="s">
        <v>81</v>
      </c>
      <c r="BD115" t="s">
        <v>81</v>
      </c>
      <c r="BE115" t="s">
        <v>81</v>
      </c>
      <c r="BF115" t="s">
        <v>81</v>
      </c>
      <c r="BG115" t="s">
        <v>81</v>
      </c>
    </row>
  </sheetData>
  <mergeCells count="3">
    <mergeCell ref="J1:O1"/>
    <mergeCell ref="U1:Y1"/>
    <mergeCell ref="AN1:AW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vt:lpstr>
      <vt:lpstr>most used app</vt:lpstr>
      <vt:lpstr>education+app</vt:lpstr>
      <vt:lpstr>work+app</vt:lpstr>
      <vt:lpstr>app+gender</vt:lpstr>
      <vt:lpstr>app+income</vt:lpstr>
      <vt:lpstr>age+app</vt:lpstr>
      <vt:lpstr>obj-2</vt:lpstr>
      <vt:lpstr>gender.</vt:lpstr>
      <vt:lpstr>age</vt:lpstr>
      <vt:lpstr>Education</vt:lpstr>
      <vt:lpstr>occupation</vt:lpstr>
      <vt:lpstr>income</vt:lpstr>
      <vt:lpstr>dash1</vt:lpstr>
      <vt:lpstr>users</vt:lpstr>
      <vt:lpstr>non-users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anokhid26@outlook.com</dc:creator>
  <cp:lastModifiedBy>anokhid26@outlook.com</cp:lastModifiedBy>
  <cp:lastPrinted>2026-01-25T22:26:59Z</cp:lastPrinted>
  <dcterms:created xsi:type="dcterms:W3CDTF">2026-01-25T11:43:08Z</dcterms:created>
  <dcterms:modified xsi:type="dcterms:W3CDTF">2026-04-19T10:48:45Z</dcterms:modified>
</cp:coreProperties>
</file>